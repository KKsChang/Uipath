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N725LG\Documents\RPA\費用科\信用卡營業稅\"/>
    </mc:Choice>
  </mc:AlternateContent>
  <xr:revisionPtr revIDLastSave="0" documentId="13_ncr:1_{22B9C17A-8B18-4EB7-8580-4E64DEA9B1F5}" xr6:coauthVersionLast="44" xr6:coauthVersionMax="44" xr10:uidLastSave="{00000000-0000-0000-0000-000000000000}"/>
  <bookViews>
    <workbookView xWindow="-110" yWindow="-110" windowWidth="19420" windowHeight="10560" activeTab="2" xr2:uid="{00000000-000D-0000-FFFF-FFFF00000000}"/>
  </bookViews>
  <sheets>
    <sheet name="User Page" sheetId="2" r:id="rId1"/>
    <sheet name="Config" sheetId="1" r:id="rId2"/>
    <sheet name="Path" sheetId="3" r:id="rId3"/>
    <sheet name="EIP Path" sheetId="4" r:id="rId4"/>
    <sheet name="Dropdown Menu" sheetId="5" state="hidden" r:id="rId5"/>
  </sheets>
  <functionGroups builtInGroupCount="19"/>
  <definedNames>
    <definedName name="A">'User Page'!$G$4</definedName>
    <definedName name="Check">'Dropdown Menu'!$B$2</definedName>
    <definedName name="FilingCell">'User Page'!$I$3</definedName>
    <definedName name="FilingStatus">'Dropdown Menu'!$C$2:$C$5</definedName>
    <definedName name="Status">'Dropdown Menu'!$A$2:$A$6</definedName>
    <definedName name="StatusCell">'User Page'!$G$3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3" l="1"/>
  <c r="B12" i="3"/>
  <c r="B8" i="3"/>
  <c r="B7" i="3"/>
  <c r="B14" i="3"/>
  <c r="B9" i="3"/>
  <c r="B11" i="1"/>
  <c r="B10" i="1"/>
  <c r="B12" i="1" s="1"/>
  <c r="B2" i="3"/>
  <c r="B11" i="3" l="1"/>
  <c r="B3" i="3" l="1"/>
  <c r="B9" i="1"/>
  <c r="B4" i="1"/>
  <c r="B3" i="1"/>
  <c r="B2" i="1"/>
  <c r="C10" i="2"/>
  <c r="B4" i="3" l="1"/>
  <c r="B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Wesley Hsu</author>
    <author>楊一青</author>
  </authors>
  <commentList>
    <comment ref="G2" authorId="0" shapeId="0" xr:uid="{00000000-0006-0000-0000-000001000000}">
      <text>
        <r>
          <rPr>
            <b/>
            <sz val="10"/>
            <color indexed="81"/>
            <rFont val="微軟正黑體"/>
            <family val="2"/>
            <charset val="136"/>
          </rPr>
          <t>Calvin Chang:</t>
        </r>
        <r>
          <rPr>
            <sz val="10"/>
            <color indexed="81"/>
            <rFont val="微軟正黑體"/>
            <family val="2"/>
            <charset val="136"/>
          </rPr>
          <t xml:space="preserve">
RPA 狀態
每期開始前請選擇 "Ready"
當 RPA 完成上傳申報時，會改為 "Completed"
當 RPA 成功處理完申報數據時且沒有進行上傳申報時，會改為 "Filing Data Prepared"
當 RPA 發生錯誤時，會改為 "Error"</t>
        </r>
      </text>
    </comment>
    <comment ref="I2" authorId="0" shapeId="0" xr:uid="{00000000-0006-0000-0000-000002000000}">
      <text>
        <r>
          <rPr>
            <b/>
            <sz val="10"/>
            <color indexed="81"/>
            <rFont val="微軟正黑體"/>
            <family val="2"/>
            <charset val="136"/>
          </rPr>
          <t>Calvin Chang:</t>
        </r>
        <r>
          <rPr>
            <sz val="10"/>
            <color indexed="81"/>
            <rFont val="微軟正黑體"/>
            <family val="2"/>
            <charset val="136"/>
          </rPr>
          <t xml:space="preserve">
若空白，則不進行申報上傳
若勾選，則進行申報上傳
申報上傳的資訊會以 Tax Return 的工作表為主</t>
        </r>
      </text>
    </comment>
    <comment ref="C2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Wesley Hsu:</t>
        </r>
        <r>
          <rPr>
            <sz val="9"/>
            <color indexed="81"/>
            <rFont val="Tahoma"/>
            <family val="2"/>
          </rPr>
          <t xml:space="preserve">
RPA 流程中
所需檔案的名稱</t>
        </r>
      </text>
    </comment>
    <comment ref="B23" authorId="1" shapeId="0" xr:uid="{00000000-0006-0000-0000-000004000000}">
      <text>
        <r>
          <rPr>
            <b/>
            <sz val="10"/>
            <color indexed="81"/>
            <rFont val="微軟正黑體"/>
            <family val="2"/>
            <charset val="136"/>
          </rPr>
          <t xml:space="preserve">Calvin Chang:
</t>
        </r>
        <r>
          <rPr>
            <sz val="10"/>
            <color indexed="81"/>
            <rFont val="微軟正黑體"/>
            <family val="2"/>
            <charset val="136"/>
          </rPr>
          <t>檔案名稱需為"YYYMM"開頭，但是這裡只給固定部分，年月會自動帶入</t>
        </r>
      </text>
    </comment>
  </commentList>
</comments>
</file>

<file path=xl/sharedStrings.xml><?xml version="1.0" encoding="utf-8"?>
<sst xmlns="http://schemas.openxmlformats.org/spreadsheetml/2006/main" count="98" uniqueCount="91">
  <si>
    <t>Key</t>
  </si>
  <si>
    <t>Value</t>
  </si>
  <si>
    <t>Description</t>
  </si>
  <si>
    <t>User Input</t>
    <phoneticPr fontId="5" type="noConversion"/>
  </si>
  <si>
    <t>流程名稱</t>
    <phoneticPr fontId="5" type="noConversion"/>
  </si>
  <si>
    <t xml:space="preserve"> 銀行營業稅申報自動化 </t>
    <phoneticPr fontId="5" type="noConversion"/>
  </si>
  <si>
    <t>民國年 (yyy)</t>
  </si>
  <si>
    <t>使用者 Email</t>
    <phoneticPr fontId="5" type="noConversion"/>
  </si>
  <si>
    <t>副本 Email</t>
    <phoneticPr fontId="5" type="noConversion"/>
  </si>
  <si>
    <t>NowYear</t>
    <phoneticPr fontId="3" type="noConversion"/>
  </si>
  <si>
    <t>民國年</t>
    <phoneticPr fontId="3" type="noConversion"/>
  </si>
  <si>
    <t>模板資料夾在本機的路徑</t>
  </si>
  <si>
    <t>Folder Settings</t>
    <phoneticPr fontId="5" type="noConversion"/>
  </si>
  <si>
    <t>銀行營業稅資料夾路徑 (本機)</t>
    <phoneticPr fontId="5" type="noConversion"/>
  </si>
  <si>
    <t>銀行營業稅資料夾路徑 (EIP)</t>
    <phoneticPr fontId="5" type="noConversion"/>
  </si>
  <si>
    <t>Y:\5. RPA資料區\帳務管理科\AM001_Bank Business Tax Filing</t>
    <phoneticPr fontId="5" type="noConversion"/>
  </si>
  <si>
    <t>模板檔案資料夾名稱</t>
    <phoneticPr fontId="5" type="noConversion"/>
  </si>
  <si>
    <t>00Templates</t>
    <phoneticPr fontId="3" type="noConversion"/>
  </si>
  <si>
    <t>來源檔案資料夾名稱</t>
    <phoneticPr fontId="5" type="noConversion"/>
  </si>
  <si>
    <t>結果檔案資料夾名稱</t>
  </si>
  <si>
    <t>申報書資料夾名稱</t>
    <phoneticPr fontId="5" type="noConversion"/>
  </si>
  <si>
    <t>03Tax Returns</t>
    <phoneticPr fontId="5" type="noConversion"/>
  </si>
  <si>
    <t>Templates_Folder</t>
    <phoneticPr fontId="3" type="noConversion"/>
  </si>
  <si>
    <t>RPA Status</t>
    <phoneticPr fontId="3" type="noConversion"/>
  </si>
  <si>
    <t>RPA 狀態</t>
  </si>
  <si>
    <t>RPA 狀態位址</t>
  </si>
  <si>
    <t>是否進行上傳申報?</t>
  </si>
  <si>
    <t>Status</t>
  </si>
  <si>
    <t>申報?</t>
    <phoneticPr fontId="5" type="noConversion"/>
  </si>
  <si>
    <t>進銷項資料上傳格式檔模板檔案名稱</t>
    <phoneticPr fontId="5" type="noConversion"/>
  </si>
  <si>
    <t>營業稅進銷項資料上傳格式.xlsx</t>
    <phoneticPr fontId="3" type="noConversion"/>
  </si>
  <si>
    <t>File Names</t>
    <phoneticPr fontId="5" type="noConversion"/>
  </si>
  <si>
    <t>Status</t>
    <phoneticPr fontId="3" type="noConversion"/>
  </si>
  <si>
    <t>Filing Data Prepared</t>
    <phoneticPr fontId="3" type="noConversion"/>
  </si>
  <si>
    <t>Error</t>
    <phoneticPr fontId="3" type="noConversion"/>
  </si>
  <si>
    <t>Missing File</t>
    <phoneticPr fontId="3" type="noConversion"/>
  </si>
  <si>
    <t>Ready</t>
    <phoneticPr fontId="3" type="noConversion"/>
  </si>
  <si>
    <t>Completed</t>
    <phoneticPr fontId="3" type="noConversion"/>
  </si>
  <si>
    <t>RPA Status Address</t>
    <phoneticPr fontId="3" type="noConversion"/>
  </si>
  <si>
    <t>Filing?</t>
    <phoneticPr fontId="3" type="noConversion"/>
  </si>
  <si>
    <t>Filing Status</t>
    <phoneticPr fontId="3" type="noConversion"/>
  </si>
  <si>
    <t>尚未申報</t>
    <phoneticPr fontId="3" type="noConversion"/>
  </si>
  <si>
    <t>登錄錯誤</t>
    <phoneticPr fontId="3" type="noConversion"/>
  </si>
  <si>
    <t>登錄完成</t>
    <phoneticPr fontId="3" type="noConversion"/>
  </si>
  <si>
    <t>已申報</t>
    <phoneticPr fontId="3" type="noConversion"/>
  </si>
  <si>
    <t>Check</t>
    <phoneticPr fontId="3" type="noConversion"/>
  </si>
  <si>
    <t>V</t>
    <phoneticPr fontId="3" type="noConversion"/>
  </si>
  <si>
    <t>ZeroTaxFile</t>
    <phoneticPr fontId="3" type="noConversion"/>
  </si>
  <si>
    <t>02Outputs</t>
    <phoneticPr fontId="3" type="noConversion"/>
  </si>
  <si>
    <t>ZeroTaxReport</t>
    <phoneticPr fontId="3" type="noConversion"/>
  </si>
  <si>
    <t>ZeroTaxReportT</t>
    <phoneticPr fontId="3" type="noConversion"/>
  </si>
  <si>
    <t>零稅率的輸入資料檔(PDF)</t>
    <phoneticPr fontId="3" type="noConversion"/>
  </si>
  <si>
    <t>零稅率報表樣板檔</t>
    <phoneticPr fontId="3" type="noConversion"/>
  </si>
  <si>
    <t>零稅率報表輸出檔</t>
    <phoneticPr fontId="3" type="noConversion"/>
  </si>
  <si>
    <t>User Email</t>
    <phoneticPr fontId="3" type="noConversion"/>
  </si>
  <si>
    <t>收件者電子郵件</t>
  </si>
  <si>
    <t>CC Email</t>
    <phoneticPr fontId="3" type="noConversion"/>
  </si>
  <si>
    <t>副本電子郵件</t>
  </si>
  <si>
    <t>零稅率資料夾(本機)</t>
    <phoneticPr fontId="3" type="noConversion"/>
  </si>
  <si>
    <t>零稅率資料夾(EIP)</t>
    <phoneticPr fontId="3" type="noConversion"/>
  </si>
  <si>
    <t>C:\Users\earl.yang\Documents\RPA\費用科\005_Credit Card Business Tax\108\10812\01Inputs</t>
  </si>
  <si>
    <t>零稅率輸入起始檔案名稱</t>
    <phoneticPr fontId="3" type="noConversion"/>
  </si>
  <si>
    <t>進項發票模板</t>
    <phoneticPr fontId="3" type="noConversion"/>
  </si>
  <si>
    <t>InputInvoice</t>
    <phoneticPr fontId="3" type="noConversion"/>
  </si>
  <si>
    <t>01Inputs</t>
    <phoneticPr fontId="5" type="noConversion"/>
  </si>
  <si>
    <t>OutputInvoice</t>
    <phoneticPr fontId="3" type="noConversion"/>
  </si>
  <si>
    <t>進項發票輸入檔</t>
    <phoneticPr fontId="3" type="noConversion"/>
  </si>
  <si>
    <t>進項發票輸出檔</t>
    <phoneticPr fontId="3" type="noConversion"/>
  </si>
  <si>
    <t>InputBusinessTax</t>
    <phoneticPr fontId="3" type="noConversion"/>
  </si>
  <si>
    <t>OutputBusinessTax</t>
    <phoneticPr fontId="3" type="noConversion"/>
  </si>
  <si>
    <t>銷項模板</t>
    <phoneticPr fontId="3" type="noConversion"/>
  </si>
  <si>
    <t>Month</t>
    <phoneticPr fontId="3" type="noConversion"/>
  </si>
  <si>
    <t>本期月份</t>
    <phoneticPr fontId="3" type="noConversion"/>
  </si>
  <si>
    <t>營業稅來源資料</t>
    <phoneticPr fontId="3" type="noConversion"/>
  </si>
  <si>
    <t>BusinessTaxRPT</t>
    <phoneticPr fontId="3" type="noConversion"/>
  </si>
  <si>
    <t>NextBusinessTax</t>
  </si>
  <si>
    <t>本期月份 (mm)</t>
    <phoneticPr fontId="3" type="noConversion"/>
  </si>
  <si>
    <t>NextYear</t>
    <phoneticPr fontId="3" type="noConversion"/>
  </si>
  <si>
    <t>NextMonth</t>
  </si>
  <si>
    <t>下期年</t>
    <phoneticPr fontId="3" type="noConversion"/>
  </si>
  <si>
    <t>下期月</t>
    <phoneticPr fontId="3" type="noConversion"/>
  </si>
  <si>
    <t>NextInvoice</t>
  </si>
  <si>
    <t>進項發票模板.xlsx</t>
    <phoneticPr fontId="3" type="noConversion"/>
  </si>
  <si>
    <t>信用卡營業稅計算表.xlsm</t>
    <phoneticPr fontId="3" type="noConversion"/>
  </si>
  <si>
    <t>營業稅.xlsx</t>
    <phoneticPr fontId="3" type="noConversion"/>
  </si>
  <si>
    <t>本行信用卡國外交易簽帳金額及簽帳手續費收入彙總表.pdf</t>
    <phoneticPr fontId="3" type="noConversion"/>
  </si>
  <si>
    <t>下期用</t>
    <phoneticPr fontId="3" type="noConversion"/>
  </si>
  <si>
    <t>營業稅參照檔</t>
    <phoneticPr fontId="3" type="noConversion"/>
  </si>
  <si>
    <t>營業稅計算表輸入檔</t>
    <phoneticPr fontId="3" type="noConversion"/>
  </si>
  <si>
    <t>營業稅計算表輸出檔</t>
    <phoneticPr fontId="3" type="noConversion"/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</si>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</sst>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.00_);_(* \(#,##0.00\);_(* &quot;-&quot;??_);_(@_)"/>
  </numFmts>
  <fonts count="1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81"/>
      <name val="微軟正黑體"/>
      <family val="2"/>
      <charset val="136"/>
    </font>
    <font>
      <sz val="10"/>
      <color indexed="81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Dot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 style="thin">
        <color indexed="64"/>
      </right>
      <top/>
      <bottom style="dashDotDot">
        <color indexed="64"/>
      </bottom>
      <diagonal/>
    </border>
    <border>
      <left style="thin">
        <color indexed="64"/>
      </left>
      <right style="medium">
        <color indexed="64"/>
      </right>
      <top/>
      <bottom style="dashDotDot">
        <color indexed="64"/>
      </bottom>
      <diagonal/>
    </border>
    <border>
      <left style="medium">
        <color indexed="64"/>
      </left>
      <right style="thin">
        <color indexed="64"/>
      </right>
      <top style="dashDotDot">
        <color indexed="64"/>
      </top>
      <bottom style="dashDotDot">
        <color indexed="64"/>
      </bottom>
      <diagonal/>
    </border>
    <border>
      <left style="thin">
        <color indexed="64"/>
      </left>
      <right style="medium">
        <color indexed="64"/>
      </right>
      <top style="dashDotDot">
        <color indexed="64"/>
      </top>
      <bottom style="dashDotDot">
        <color indexed="64"/>
      </bottom>
      <diagonal/>
    </border>
    <border>
      <left style="medium">
        <color indexed="64"/>
      </left>
      <right style="thin">
        <color indexed="64"/>
      </right>
      <top style="dashDotDot">
        <color indexed="64"/>
      </top>
      <bottom/>
      <diagonal/>
    </border>
    <border>
      <left style="thin">
        <color indexed="64"/>
      </left>
      <right style="medium">
        <color indexed="64"/>
      </right>
      <top style="dashDotDot">
        <color indexed="64"/>
      </top>
      <bottom/>
      <diagonal/>
    </border>
    <border>
      <left style="medium">
        <color indexed="64"/>
      </left>
      <right style="thin">
        <color indexed="64"/>
      </right>
      <top style="dashDot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DotDot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>
      <alignment vertical="center"/>
    </xf>
  </cellStyleXfs>
  <cellXfs count="37">
    <xf numFmtId="0" fontId="0" fillId="0" borderId="0" xfId="0"/>
    <xf numFmtId="0" fontId="2" fillId="0" borderId="1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Border="1" applyAlignment="1">
      <alignment horizontal="center"/>
    </xf>
    <xf numFmtId="0" fontId="11" fillId="0" borderId="0" xfId="0" applyFont="1"/>
    <xf numFmtId="0" fontId="12" fillId="2" borderId="2" xfId="0" applyFont="1" applyFill="1" applyBorder="1" applyAlignment="1" applyProtection="1">
      <alignment horizontal="centerContinuous" vertical="center"/>
    </xf>
    <xf numFmtId="0" fontId="13" fillId="2" borderId="3" xfId="0" applyFont="1" applyFill="1" applyBorder="1" applyAlignment="1" applyProtection="1">
      <alignment horizontal="centerContinuous" vertical="center"/>
    </xf>
    <xf numFmtId="0" fontId="14" fillId="2" borderId="16" xfId="0" applyFont="1" applyFill="1" applyBorder="1" applyAlignment="1" applyProtection="1">
      <alignment horizontal="center"/>
    </xf>
    <xf numFmtId="0" fontId="11" fillId="2" borderId="0" xfId="0" applyFont="1" applyFill="1" applyProtection="1"/>
    <xf numFmtId="0" fontId="13" fillId="2" borderId="4" xfId="0" applyFont="1" applyFill="1" applyBorder="1" applyAlignment="1" applyProtection="1">
      <alignment horizontal="left" vertical="center"/>
    </xf>
    <xf numFmtId="0" fontId="13" fillId="3" borderId="5" xfId="0" applyFont="1" applyFill="1" applyBorder="1" applyAlignment="1" applyProtection="1">
      <alignment horizontal="left" vertical="center"/>
    </xf>
    <xf numFmtId="0" fontId="11" fillId="4" borderId="17" xfId="0" applyFont="1" applyFill="1" applyBorder="1" applyAlignment="1" applyProtection="1">
      <alignment horizontal="center"/>
      <protection locked="0"/>
    </xf>
    <xf numFmtId="0" fontId="13" fillId="2" borderId="6" xfId="0" applyFont="1" applyFill="1" applyBorder="1" applyAlignment="1" applyProtection="1">
      <alignment vertical="center"/>
    </xf>
    <xf numFmtId="0" fontId="15" fillId="4" borderId="7" xfId="0" applyNumberFormat="1" applyFont="1" applyFill="1" applyBorder="1" applyAlignment="1" applyProtection="1">
      <alignment horizontal="left" vertical="center"/>
      <protection locked="0"/>
    </xf>
    <xf numFmtId="0" fontId="13" fillId="2" borderId="8" xfId="0" applyFont="1" applyFill="1" applyBorder="1" applyAlignment="1" applyProtection="1">
      <alignment vertical="center"/>
    </xf>
    <xf numFmtId="0" fontId="15" fillId="4" borderId="9" xfId="0" applyNumberFormat="1" applyFont="1" applyFill="1" applyBorder="1" applyAlignment="1" applyProtection="1">
      <alignment horizontal="left" vertical="center"/>
      <protection locked="0"/>
    </xf>
    <xf numFmtId="0" fontId="13" fillId="2" borderId="12" xfId="0" applyFont="1" applyFill="1" applyBorder="1" applyAlignment="1" applyProtection="1">
      <alignment vertical="center"/>
    </xf>
    <xf numFmtId="0" fontId="15" fillId="4" borderId="13" xfId="0" applyNumberFormat="1" applyFont="1" applyFill="1" applyBorder="1" applyAlignment="1" applyProtection="1">
      <alignment horizontal="left" vertical="center"/>
      <protection locked="0"/>
    </xf>
    <xf numFmtId="0" fontId="16" fillId="2" borderId="14" xfId="0" applyFont="1" applyFill="1" applyBorder="1" applyAlignment="1" applyProtection="1">
      <alignment horizontal="centerContinuous" vertical="center"/>
    </xf>
    <xf numFmtId="0" fontId="13" fillId="2" borderId="15" xfId="1" applyNumberFormat="1" applyFont="1" applyFill="1" applyBorder="1" applyAlignment="1" applyProtection="1">
      <alignment horizontal="centerContinuous" vertical="center"/>
    </xf>
    <xf numFmtId="0" fontId="13" fillId="2" borderId="6" xfId="0" applyFont="1" applyFill="1" applyBorder="1" applyAlignment="1" applyProtection="1">
      <alignment horizontal="left" vertical="center"/>
    </xf>
    <xf numFmtId="0" fontId="13" fillId="3" borderId="7" xfId="0" applyFont="1" applyFill="1" applyBorder="1" applyAlignment="1" applyProtection="1">
      <alignment horizontal="left" vertical="center"/>
    </xf>
    <xf numFmtId="0" fontId="13" fillId="2" borderId="8" xfId="0" applyFont="1" applyFill="1" applyBorder="1" applyAlignment="1" applyProtection="1">
      <alignment horizontal="left" vertical="center"/>
    </xf>
    <xf numFmtId="0" fontId="13" fillId="3" borderId="9" xfId="0" applyFont="1" applyFill="1" applyBorder="1" applyAlignment="1" applyProtection="1">
      <alignment horizontal="left" vertical="center"/>
    </xf>
    <xf numFmtId="0" fontId="13" fillId="2" borderId="10" xfId="0" applyFont="1" applyFill="1" applyBorder="1" applyAlignment="1" applyProtection="1">
      <alignment horizontal="left" vertical="center"/>
    </xf>
    <xf numFmtId="0" fontId="13" fillId="3" borderId="11" xfId="0" applyFont="1" applyFill="1" applyBorder="1" applyAlignment="1" applyProtection="1">
      <alignment horizontal="left" vertical="center"/>
    </xf>
    <xf numFmtId="0" fontId="13" fillId="2" borderId="12" xfId="0" applyFont="1" applyFill="1" applyBorder="1" applyAlignment="1" applyProtection="1">
      <alignment horizontal="left" vertical="center"/>
    </xf>
    <xf numFmtId="0" fontId="13" fillId="3" borderId="13" xfId="0" applyFont="1" applyFill="1" applyBorder="1" applyAlignment="1" applyProtection="1">
      <alignment horizontal="left" vertical="center"/>
    </xf>
    <xf numFmtId="0" fontId="12" fillId="2" borderId="14" xfId="0" applyFont="1" applyFill="1" applyBorder="1" applyAlignment="1" applyProtection="1">
      <alignment horizontal="centerContinuous" vertical="center"/>
    </xf>
    <xf numFmtId="0" fontId="12" fillId="2" borderId="15" xfId="0" applyFont="1" applyFill="1" applyBorder="1" applyAlignment="1" applyProtection="1">
      <alignment horizontal="centerContinuous" vertical="center"/>
    </xf>
  </cellXfs>
  <cellStyles count="2">
    <cellStyle name="一般" xfId="0" builtinId="0"/>
    <cellStyle name="千分位" xfId="1" builtinId="3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/>
  <dimension ref="B1:I26"/>
  <sheetViews>
    <sheetView topLeftCell="A4" zoomScaleNormal="100" workbookViewId="0">
      <selection activeCell="B33" sqref="B33"/>
    </sheetView>
  </sheetViews>
  <sheetFormatPr defaultColWidth="9.09765625" defaultRowHeight="14.5" x14ac:dyDescent="0.35"/>
  <cols>
    <col min="1" max="1" width="3.59765625" style="11" customWidth="1"/>
    <col min="2" max="2" width="43.3984375" style="11" bestFit="1" customWidth="1"/>
    <col min="3" max="3" width="118.69921875" style="11" bestFit="1" customWidth="1"/>
    <col min="4" max="6" width="9.09765625" style="11"/>
    <col min="7" max="7" width="21" style="11" customWidth="1"/>
    <col min="8" max="8" width="9.09765625" style="11"/>
    <col min="9" max="9" width="11.59765625" style="11" customWidth="1"/>
    <col min="10" max="16384" width="9.09765625" style="11"/>
  </cols>
  <sheetData>
    <row r="1" spans="2:9" ht="15" thickBot="1" x14ac:dyDescent="0.4"/>
    <row r="2" spans="2:9" ht="16.5" thickBot="1" x14ac:dyDescent="0.4">
      <c r="B2" s="12" t="s">
        <v>3</v>
      </c>
      <c r="C2" s="13"/>
      <c r="G2" s="14" t="s">
        <v>27</v>
      </c>
      <c r="H2" s="15"/>
      <c r="I2" s="14" t="s">
        <v>28</v>
      </c>
    </row>
    <row r="3" spans="2:9" ht="16" thickBot="1" x14ac:dyDescent="0.4">
      <c r="B3" s="16" t="s">
        <v>4</v>
      </c>
      <c r="C3" s="17" t="s">
        <v>5</v>
      </c>
      <c r="G3" s="18" t="s">
        <v>90</v>
      </c>
      <c r="H3" s="15"/>
      <c r="I3" s="18"/>
    </row>
    <row r="4" spans="2:9" ht="15.5" x14ac:dyDescent="0.35">
      <c r="B4" s="19" t="s">
        <v>6</v>
      </c>
      <c r="C4" s="20">
        <v>108</v>
      </c>
    </row>
    <row r="5" spans="2:9" ht="15.5" x14ac:dyDescent="0.35">
      <c r="B5" s="21" t="s">
        <v>76</v>
      </c>
      <c r="C5" s="22">
        <v>11</v>
      </c>
    </row>
    <row r="6" spans="2:9" ht="15.5" x14ac:dyDescent="0.35">
      <c r="B6" s="21" t="s">
        <v>7</v>
      </c>
      <c r="C6" s="22"/>
    </row>
    <row r="7" spans="2:9" ht="16" thickBot="1" x14ac:dyDescent="0.4">
      <c r="B7" s="23" t="s">
        <v>8</v>
      </c>
      <c r="C7" s="24"/>
    </row>
    <row r="8" spans="2:9" ht="15" thickBot="1" x14ac:dyDescent="0.4"/>
    <row r="9" spans="2:9" ht="16.5" thickBot="1" x14ac:dyDescent="0.4">
      <c r="B9" s="25" t="s">
        <v>12</v>
      </c>
      <c r="C9" s="26"/>
    </row>
    <row r="10" spans="2:9" ht="15.5" x14ac:dyDescent="0.35">
      <c r="B10" s="16" t="s">
        <v>13</v>
      </c>
      <c r="C10" s="17" t="str">
        <f>MyDocumentPath() &amp; "\RPA\費用科\信用卡營業稅"</f>
        <v>C:\Users\MN725LG\Documents\RPA\費用科\信用卡營業稅</v>
      </c>
    </row>
    <row r="11" spans="2:9" ht="15.5" x14ac:dyDescent="0.35">
      <c r="B11" s="27" t="s">
        <v>14</v>
      </c>
      <c r="C11" s="28" t="s">
        <v>15</v>
      </c>
    </row>
    <row r="12" spans="2:9" ht="15.5" x14ac:dyDescent="0.35">
      <c r="B12" s="27" t="s">
        <v>58</v>
      </c>
      <c r="C12" s="28" t="s">
        <v>60</v>
      </c>
    </row>
    <row r="13" spans="2:9" ht="15.5" x14ac:dyDescent="0.35">
      <c r="B13" s="27" t="s">
        <v>59</v>
      </c>
      <c r="C13" s="28"/>
    </row>
    <row r="14" spans="2:9" ht="15.5" x14ac:dyDescent="0.35">
      <c r="B14" s="29"/>
      <c r="C14" s="30"/>
    </row>
    <row r="15" spans="2:9" ht="15.5" x14ac:dyDescent="0.35">
      <c r="B15" s="29"/>
      <c r="C15" s="30"/>
    </row>
    <row r="16" spans="2:9" ht="15.5" x14ac:dyDescent="0.35">
      <c r="B16" s="31" t="s">
        <v>16</v>
      </c>
      <c r="C16" s="32" t="s">
        <v>17</v>
      </c>
    </row>
    <row r="17" spans="2:3" ht="15.5" x14ac:dyDescent="0.35">
      <c r="B17" s="31" t="s">
        <v>18</v>
      </c>
      <c r="C17" s="32" t="s">
        <v>64</v>
      </c>
    </row>
    <row r="18" spans="2:3" ht="15.5" x14ac:dyDescent="0.35">
      <c r="B18" s="31" t="s">
        <v>19</v>
      </c>
      <c r="C18" s="32" t="s">
        <v>48</v>
      </c>
    </row>
    <row r="19" spans="2:3" ht="16" thickBot="1" x14ac:dyDescent="0.4">
      <c r="B19" s="33" t="s">
        <v>20</v>
      </c>
      <c r="C19" s="34" t="s">
        <v>21</v>
      </c>
    </row>
    <row r="20" spans="2:3" ht="15" thickBot="1" x14ac:dyDescent="0.4"/>
    <row r="21" spans="2:3" ht="16.5" thickBot="1" x14ac:dyDescent="0.4">
      <c r="B21" s="35" t="s">
        <v>31</v>
      </c>
      <c r="C21" s="36"/>
    </row>
    <row r="22" spans="2:3" ht="15.5" x14ac:dyDescent="0.35">
      <c r="B22" s="16" t="s">
        <v>29</v>
      </c>
      <c r="C22" s="17" t="s">
        <v>30</v>
      </c>
    </row>
    <row r="23" spans="2:3" ht="15.5" x14ac:dyDescent="0.35">
      <c r="B23" s="27" t="s">
        <v>61</v>
      </c>
      <c r="C23" s="28" t="s">
        <v>85</v>
      </c>
    </row>
    <row r="24" spans="2:3" ht="15.5" x14ac:dyDescent="0.35">
      <c r="B24" s="27" t="s">
        <v>62</v>
      </c>
      <c r="C24" s="28" t="s">
        <v>82</v>
      </c>
    </row>
    <row r="25" spans="2:3" ht="15.5" x14ac:dyDescent="0.35">
      <c r="B25" s="27" t="s">
        <v>70</v>
      </c>
      <c r="C25" s="30" t="s">
        <v>83</v>
      </c>
    </row>
    <row r="26" spans="2:3" ht="16" thickBot="1" x14ac:dyDescent="0.4">
      <c r="B26" s="33" t="s">
        <v>73</v>
      </c>
      <c r="C26" s="34" t="s">
        <v>84</v>
      </c>
    </row>
  </sheetData>
  <protectedRanges>
    <protectedRange algorithmName="SHA-512" hashValue="mErkxEy3kJMlyNLQtM6IE+zpto/V7FpYg/KsDIsf6Q+UZ5P7itCPm56jbYs9xs/rLQyH+mNlV3ddLOQj/gtNqw==" saltValue="79eEMx8kPmwYXfe03TTYRw==" spinCount="100000" sqref="C3" name="rangeUserInput_1"/>
    <protectedRange algorithmName="SHA-512" hashValue="mErkxEy3kJMlyNLQtM6IE+zpto/V7FpYg/KsDIsf6Q+UZ5P7itCPm56jbYs9xs/rLQyH+mNlV3ddLOQj/gtNqw==" saltValue="79eEMx8kPmwYXfe03TTYRw==" spinCount="100000" sqref="C10:C19" name="rangeUserInput_1_1"/>
    <protectedRange algorithmName="SHA-512" hashValue="mErkxEy3kJMlyNLQtM6IE+zpto/V7FpYg/KsDIsf6Q+UZ5P7itCPm56jbYs9xs/rLQyH+mNlV3ddLOQj/gtNqw==" saltValue="79eEMx8kPmwYXfe03TTYRw==" spinCount="100000" sqref="C22:C26" name="rangeUserInput_1_4"/>
  </protectedRanges>
  <phoneticPr fontId="3" type="noConversion"/>
  <dataValidations count="3">
    <dataValidation type="list" showInputMessage="1" showErrorMessage="1" sqref="G3" xr:uid="{00000000-0002-0000-0000-000000000000}">
      <formula1>Status</formula1>
    </dataValidation>
    <dataValidation type="list" allowBlank="1" showInputMessage="1" showErrorMessage="1" sqref="H3" xr:uid="{00000000-0002-0000-0000-000001000000}">
      <formula1>Status</formula1>
    </dataValidation>
    <dataValidation type="list" allowBlank="1" showInputMessage="1" showErrorMessage="1" sqref="I3" xr:uid="{00000000-0002-0000-0000-000002000000}">
      <formula1>Check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C12"/>
  <sheetViews>
    <sheetView workbookViewId="0">
      <selection activeCell="B9" sqref="B9"/>
    </sheetView>
  </sheetViews>
  <sheetFormatPr defaultRowHeight="14.5" x14ac:dyDescent="0.3"/>
  <cols>
    <col min="1" max="1" width="16.3984375" customWidth="1"/>
    <col min="2" max="2" width="19.09765625" customWidth="1"/>
    <col min="3" max="3" width="27" bestFit="1" customWidth="1"/>
  </cols>
  <sheetData>
    <row r="1" spans="1:3" ht="15" thickBot="1" x14ac:dyDescent="0.35">
      <c r="A1" s="1" t="s">
        <v>0</v>
      </c>
      <c r="B1" s="7" t="s">
        <v>1</v>
      </c>
      <c r="C1" s="1" t="s">
        <v>2</v>
      </c>
    </row>
    <row r="2" spans="1:3" ht="15" thickTop="1" x14ac:dyDescent="0.3">
      <c r="A2" s="4" t="s">
        <v>23</v>
      </c>
      <c r="B2" s="5" t="str">
        <f>StatusCell</f>
        <v>Ready</v>
      </c>
      <c r="C2" s="4" t="s">
        <v>24</v>
      </c>
    </row>
    <row r="3" spans="1:3" x14ac:dyDescent="0.3">
      <c r="A3" s="4" t="s">
        <v>38</v>
      </c>
      <c r="B3" s="5" t="str">
        <f>ADDRESS(ROW(StatusCell), COLUMN(StatusCell),4)</f>
        <v>G3</v>
      </c>
      <c r="C3" s="4" t="s">
        <v>25</v>
      </c>
    </row>
    <row r="4" spans="1:3" x14ac:dyDescent="0.3">
      <c r="A4" s="4" t="s">
        <v>39</v>
      </c>
      <c r="B4" s="5" t="str">
        <f>IF(ISBLANK(FilingCell), "", FilingCell)</f>
        <v/>
      </c>
      <c r="C4" s="4" t="s">
        <v>26</v>
      </c>
    </row>
    <row r="6" spans="1:3" x14ac:dyDescent="0.3">
      <c r="A6" t="s">
        <v>54</v>
      </c>
      <c r="B6" s="2"/>
      <c r="C6" s="3" t="s">
        <v>55</v>
      </c>
    </row>
    <row r="7" spans="1:3" x14ac:dyDescent="0.3">
      <c r="A7" t="s">
        <v>56</v>
      </c>
      <c r="B7" s="2"/>
      <c r="C7" s="3" t="s">
        <v>57</v>
      </c>
    </row>
    <row r="9" spans="1:3" x14ac:dyDescent="0.3">
      <c r="A9" t="s">
        <v>9</v>
      </c>
      <c r="B9" s="6">
        <f>'User Page'!C4</f>
        <v>108</v>
      </c>
      <c r="C9" s="6" t="s">
        <v>10</v>
      </c>
    </row>
    <row r="10" spans="1:3" x14ac:dyDescent="0.3">
      <c r="A10" s="3" t="s">
        <v>71</v>
      </c>
      <c r="B10" s="2" t="str">
        <f>RIGHT("00"&amp;'User Page'!C5,2)</f>
        <v>11</v>
      </c>
      <c r="C10" s="3" t="s">
        <v>72</v>
      </c>
    </row>
    <row r="11" spans="1:3" x14ac:dyDescent="0.3">
      <c r="A11" t="s">
        <v>77</v>
      </c>
      <c r="B11" s="6">
        <f>IF(B10=12,B9+1,B9)</f>
        <v>108</v>
      </c>
      <c r="C11" s="3" t="s">
        <v>79</v>
      </c>
    </row>
    <row r="12" spans="1:3" x14ac:dyDescent="0.3">
      <c r="A12" t="s">
        <v>78</v>
      </c>
      <c r="B12" s="6" t="str">
        <f>IF(B10=12,"01",RIGHT("00"&amp;B10+1,2))</f>
        <v>12</v>
      </c>
      <c r="C12" s="3" t="s">
        <v>80</v>
      </c>
    </row>
  </sheetData>
  <phoneticPr fontId="3" type="noConversion"/>
  <conditionalFormatting sqref="A1">
    <cfRule type="duplicateValues" dxfId="7" priority="4"/>
  </conditionalFormatting>
  <conditionalFormatting sqref="A10">
    <cfRule type="duplicateValues" dxfId="6" priority="3"/>
  </conditionalFormatting>
  <conditionalFormatting sqref="A2:A4">
    <cfRule type="duplicateValues" dxfId="5" priority="2"/>
  </conditionalFormatting>
  <conditionalFormatting sqref="A6:A7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C14"/>
  <sheetViews>
    <sheetView tabSelected="1" zoomScaleNormal="100" workbookViewId="0">
      <selection activeCell="B3" sqref="B3"/>
    </sheetView>
  </sheetViews>
  <sheetFormatPr defaultRowHeight="14.5" x14ac:dyDescent="0.3"/>
  <cols>
    <col min="1" max="1" width="19" bestFit="1" customWidth="1"/>
    <col min="2" max="2" width="155.796875" bestFit="1" customWidth="1"/>
    <col min="3" max="3" width="27.09765625" bestFit="1" customWidth="1"/>
  </cols>
  <sheetData>
    <row r="1" spans="1:3" ht="15" thickBot="1" x14ac:dyDescent="0.35">
      <c r="A1" s="1" t="s">
        <v>0</v>
      </c>
      <c r="B1" s="7" t="s">
        <v>1</v>
      </c>
      <c r="C1" s="1" t="s">
        <v>2</v>
      </c>
    </row>
    <row r="2" spans="1:3" ht="15" thickTop="1" x14ac:dyDescent="0.3">
      <c r="A2" t="s">
        <v>22</v>
      </c>
      <c r="B2" t="str">
        <f>'User Page'!C10 &amp; "\" &amp; 'User Page'!C16</f>
        <v>C:\Users\MN725LG\Documents\RPA\費用科\信用卡營業稅\00Templates</v>
      </c>
      <c r="C2" t="s">
        <v>11</v>
      </c>
    </row>
    <row r="3" spans="1:3" x14ac:dyDescent="0.3">
      <c r="A3" s="3" t="s">
        <v>47</v>
      </c>
      <c r="B3" t="str">
        <f>'User Page'!C12 &amp; "\" &amp;'User Page'!C23</f>
        <v>C:\Users\earl.yang\Documents\RPA\費用科\005_Credit Card Business Tax\108\10812\01Inputs\本行信用卡國外交易簽帳金額及簽帳手續費收入彙總表.pdf</v>
      </c>
      <c r="C3" s="3" t="s">
        <v>51</v>
      </c>
    </row>
    <row r="4" spans="1:3" x14ac:dyDescent="0.3">
      <c r="A4" s="3" t="s">
        <v>50</v>
      </c>
      <c r="B4" t="str">
        <f>'User Page'!C10 &amp; "\" &amp; 'User Page'!C16 &amp; "\" &amp; "yyy年度零稅率報表.xlsx"</f>
        <v>C:\Users\MN725LG\Documents\RPA\費用科\信用卡營業稅\00Templates\yyy年度零稅率報表.xlsx</v>
      </c>
      <c r="C4" s="3" t="s">
        <v>52</v>
      </c>
    </row>
    <row r="5" spans="1:3" x14ac:dyDescent="0.3">
      <c r="A5" t="s">
        <v>49</v>
      </c>
      <c r="B5" t="str">
        <f>'User Page'!C10 &amp; "\" &amp;'User Page'!C18 &amp; "\" &amp; 'User Page'!C4&amp;"年度零稅率報表.xlsx"</f>
        <v>C:\Users\MN725LG\Documents\RPA\費用科\信用卡營業稅\02Outputs\108年度零稅率報表.xlsx</v>
      </c>
      <c r="C5" s="3" t="s">
        <v>53</v>
      </c>
    </row>
    <row r="7" spans="1:3" x14ac:dyDescent="0.3">
      <c r="A7" t="s">
        <v>63</v>
      </c>
      <c r="B7" t="str">
        <f>'User Page'!C10 &amp; "\" &amp;'User Page'!C4 &amp; "\" &amp;'User Page'!C17 &amp; "\" &amp; Config!B9 &amp; Config!B10 &amp; 'User Page'!C24</f>
        <v>C:\Users\MN725LG\Documents\RPA\費用科\信用卡營業稅\108\01Inputs\10811進項發票模板.xlsx</v>
      </c>
      <c r="C7" t="s">
        <v>66</v>
      </c>
    </row>
    <row r="8" spans="1:3" x14ac:dyDescent="0.3">
      <c r="A8" t="s">
        <v>65</v>
      </c>
      <c r="B8" t="str">
        <f>'User Page'!C10 &amp; "\"  &amp;'User Page'!C4 &amp; "\" &amp;'User Page'!C18 &amp; "\" &amp;  Config!B9 &amp; Config!B10 &amp; 'User Page'!C24</f>
        <v>C:\Users\MN725LG\Documents\RPA\費用科\信用卡營業稅\108\02Outputs\10811進項發票模板.xlsx</v>
      </c>
      <c r="C8" s="3" t="s">
        <v>67</v>
      </c>
    </row>
    <row r="9" spans="1:3" x14ac:dyDescent="0.3">
      <c r="A9" t="s">
        <v>81</v>
      </c>
      <c r="B9" t="str">
        <f>'User Page'!C10 &amp; "\"  &amp;'User Page'!C4 &amp; "\" &amp;'User Page'!C18 &amp; "\" &amp; Config!B11 &amp; Config!B12 &amp; 'User Page'!C24</f>
        <v>C:\Users\MN725LG\Documents\RPA\費用科\信用卡營業稅\108\02Outputs\10812進項發票模板.xlsx</v>
      </c>
      <c r="C9" t="s">
        <v>86</v>
      </c>
    </row>
    <row r="11" spans="1:3" x14ac:dyDescent="0.3">
      <c r="A11" t="s">
        <v>74</v>
      </c>
      <c r="B11" t="str">
        <f>'User Page'!C10 &amp; "\" &amp;'User Page'!C4 &amp; "\" &amp;'User Page'!C17 &amp; "\" &amp; 'User Page'!C26</f>
        <v>C:\Users\MN725LG\Documents\RPA\費用科\信用卡營業稅\108\01Inputs\營業稅.xlsx</v>
      </c>
      <c r="C11" t="s">
        <v>87</v>
      </c>
    </row>
    <row r="12" spans="1:3" x14ac:dyDescent="0.3">
      <c r="A12" t="s">
        <v>68</v>
      </c>
      <c r="B12" t="str">
        <f>'User Page'!C10 &amp; "\" &amp;'User Page'!C4 &amp; "\" &amp;'User Page'!C17 &amp; "\" &amp; Config!B9 &amp; Config!B10 &amp; 'User Page'!C25</f>
        <v>C:\Users\MN725LG\Documents\RPA\費用科\信用卡營業稅\108\01Inputs\10811信用卡營業稅計算表.xlsm</v>
      </c>
      <c r="C12" t="s">
        <v>88</v>
      </c>
    </row>
    <row r="13" spans="1:3" x14ac:dyDescent="0.3">
      <c r="A13" t="s">
        <v>69</v>
      </c>
      <c r="B13" t="str">
        <f>'User Page'!C10 &amp; "\" &amp;'User Page'!C4 &amp; "\" &amp;'User Page'!C18 &amp; "\" &amp;  Config!B9 &amp; Config!B10 &amp; 'User Page'!C25</f>
        <v>C:\Users\MN725LG\Documents\RPA\費用科\信用卡營業稅\108\02Outputs\10811信用卡營業稅計算表.xlsm</v>
      </c>
      <c r="C13" t="s">
        <v>89</v>
      </c>
    </row>
    <row r="14" spans="1:3" x14ac:dyDescent="0.3">
      <c r="A14" t="s">
        <v>75</v>
      </c>
      <c r="B14" t="str">
        <f>'User Page'!C10 &amp; "\" &amp;'User Page'!C4 &amp; "\" &amp;'User Page'!C18 &amp; "\" &amp; Config!B11 &amp; Config!B12 &amp; 'User Page'!C25</f>
        <v>C:\Users\MN725LG\Documents\RPA\費用科\信用卡營業稅\108\02Outputs\10812信用卡營業稅計算表.xlsm</v>
      </c>
      <c r="C14" t="s">
        <v>86</v>
      </c>
    </row>
  </sheetData>
  <phoneticPr fontId="3" type="noConversion"/>
  <conditionalFormatting sqref="A1">
    <cfRule type="duplicateValues" dxfId="3" priority="3"/>
  </conditionalFormatting>
  <conditionalFormatting sqref="A2">
    <cfRule type="duplicateValues" dxfId="2" priority="2"/>
  </conditionalFormatting>
  <conditionalFormatting sqref="A3:A4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C2"/>
  <sheetViews>
    <sheetView workbookViewId="0">
      <selection activeCell="D1" sqref="D1"/>
    </sheetView>
  </sheetViews>
  <sheetFormatPr defaultRowHeight="14.5" x14ac:dyDescent="0.3"/>
  <cols>
    <col min="1" max="1" width="16.69921875" customWidth="1"/>
    <col min="2" max="2" width="18" customWidth="1"/>
    <col min="3" max="3" width="18.59765625" customWidth="1"/>
  </cols>
  <sheetData>
    <row r="1" spans="1:3" ht="15" thickBot="1" x14ac:dyDescent="0.35">
      <c r="A1" s="1" t="s">
        <v>0</v>
      </c>
      <c r="B1" s="7" t="s">
        <v>1</v>
      </c>
      <c r="C1" s="1" t="s">
        <v>2</v>
      </c>
    </row>
    <row r="2" spans="1:3" ht="15" thickTop="1" x14ac:dyDescent="0.3"/>
  </sheetData>
  <phoneticPr fontId="3" type="noConversion"/>
  <conditionalFormatting sqref="A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C6"/>
  <sheetViews>
    <sheetView workbookViewId="0">
      <selection activeCell="A4" sqref="A4"/>
    </sheetView>
  </sheetViews>
  <sheetFormatPr defaultRowHeight="14.5" x14ac:dyDescent="0.3"/>
  <cols>
    <col min="1" max="1" width="19.59765625" bestFit="1" customWidth="1"/>
    <col min="2" max="3" width="14.296875" bestFit="1" customWidth="1"/>
  </cols>
  <sheetData>
    <row r="1" spans="1:3" ht="15" thickBot="1" x14ac:dyDescent="0.35">
      <c r="A1" s="8" t="s">
        <v>32</v>
      </c>
      <c r="B1" s="8" t="s">
        <v>45</v>
      </c>
      <c r="C1" s="8" t="s">
        <v>40</v>
      </c>
    </row>
    <row r="2" spans="1:3" ht="15" thickTop="1" x14ac:dyDescent="0.3">
      <c r="A2" s="9" t="s">
        <v>36</v>
      </c>
      <c r="B2" s="9" t="s">
        <v>46</v>
      </c>
      <c r="C2" s="9" t="s">
        <v>41</v>
      </c>
    </row>
    <row r="3" spans="1:3" x14ac:dyDescent="0.3">
      <c r="A3" s="9" t="s">
        <v>33</v>
      </c>
      <c r="C3" s="10" t="s">
        <v>42</v>
      </c>
    </row>
    <row r="4" spans="1:3" x14ac:dyDescent="0.3">
      <c r="A4" s="9" t="s">
        <v>37</v>
      </c>
      <c r="C4" s="10" t="s">
        <v>43</v>
      </c>
    </row>
    <row r="5" spans="1:3" x14ac:dyDescent="0.3">
      <c r="A5" s="9" t="s">
        <v>34</v>
      </c>
      <c r="C5" s="9" t="s">
        <v>44</v>
      </c>
    </row>
    <row r="6" spans="1:3" x14ac:dyDescent="0.3">
      <c r="A6" s="9" t="s">
        <v>35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6</vt:i4>
      </vt:variant>
    </vt:vector>
  </HeadingPairs>
  <TitlesOfParts>
    <vt:vector size="11" baseType="lpstr">
      <vt:lpstr>User Page</vt:lpstr>
      <vt:lpstr>Config</vt:lpstr>
      <vt:lpstr>Path</vt:lpstr>
      <vt:lpstr>EIP Path</vt:lpstr>
      <vt:lpstr>Dropdown Menu</vt:lpstr>
      <vt:lpstr>A</vt:lpstr>
      <vt:lpstr>Check</vt:lpstr>
      <vt:lpstr>FilingCell</vt:lpstr>
      <vt:lpstr>FilingStatus</vt:lpstr>
      <vt:lpstr>Status</vt:lpstr>
      <vt:lpstr>StatusCell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Calvin SK Chang</cp:lastModifiedBy>
  <dcterms:created xsi:type="dcterms:W3CDTF">2015-06-05T18:19:34Z</dcterms:created>
  <dcterms:modified xsi:type="dcterms:W3CDTF">2020-12-23T10:27:05Z</dcterms:modified>
</cp:coreProperties>
</file>