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N725LG\Documents\RPA\費用科\信用卡營業稅\108\02Outputs\"/>
    </mc:Choice>
  </mc:AlternateContent>
  <xr:revisionPtr revIDLastSave="0" documentId="13_ncr:1_{DC5A119E-21B8-44B7-A182-E98A83A158CF}" xr6:coauthVersionLast="44" xr6:coauthVersionMax="44" xr10:uidLastSave="{00000000-0000-0000-0000-000000000000}"/>
  <bookViews>
    <workbookView xWindow="1360" yWindow="2570" windowWidth="14400" windowHeight="7460" xr2:uid="{00000000-000D-0000-FFFF-FFFF00000000}"/>
  </bookViews>
  <sheets>
    <sheet name="不可扣抵比例" sheetId="11" r:id="rId1"/>
    <sheet name="本業印花" sheetId="8" r:id="rId2"/>
    <sheet name="108計算" sheetId="7" r:id="rId3"/>
    <sheet name="BneLog" sheetId="9" state="veryHidden" r:id="rId4"/>
    <sheet name="銷項稅額" sheetId="4" r:id="rId5"/>
  </sheets>
  <definedNames>
    <definedName name="_xlnm.Print_Area" localSheetId="2">'108計算'!$A$1:$C$54</definedName>
    <definedName name="_xlnm.Print_Area" localSheetId="1">本業印花!$A$1:$L$58</definedName>
    <definedName name="_xlnm.Print_Titles" localSheetId="4">銷項稅額!$1:$1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8" i="8" l="1"/>
  <c r="J13" i="11" l="1"/>
  <c r="K13" i="11"/>
  <c r="J11" i="11"/>
  <c r="K11" i="11"/>
  <c r="J9" i="11"/>
  <c r="I9" i="11"/>
  <c r="K9" i="11"/>
  <c r="J7" i="11"/>
  <c r="K7" i="11"/>
  <c r="J5" i="11"/>
  <c r="K5" i="11"/>
  <c r="J3" i="11"/>
  <c r="K3" i="11"/>
  <c r="I5" i="11"/>
  <c r="I7" i="11"/>
  <c r="I11" i="11"/>
  <c r="I13" i="11"/>
  <c r="I3" i="11"/>
  <c r="H5" i="11"/>
  <c r="H7" i="11"/>
  <c r="H9" i="11"/>
  <c r="L9" i="11" s="1"/>
  <c r="M9" i="11" s="1"/>
  <c r="H11" i="11"/>
  <c r="H13" i="11"/>
  <c r="L13" i="11" s="1"/>
  <c r="M13" i="11" s="1"/>
  <c r="H3" i="11"/>
  <c r="L3" i="11" s="1"/>
  <c r="M3" i="11" s="1"/>
  <c r="H32" i="8"/>
  <c r="G24" i="8"/>
  <c r="J24" i="8" s="1"/>
  <c r="J7" i="8"/>
  <c r="H61" i="4"/>
  <c r="C61" i="4" s="1"/>
  <c r="H62" i="4"/>
  <c r="C62" i="4" s="1"/>
  <c r="D62" i="4" s="1"/>
  <c r="E62" i="4"/>
  <c r="F63" i="4"/>
  <c r="G63" i="4"/>
  <c r="C38" i="7"/>
  <c r="B38" i="7"/>
  <c r="G45" i="8"/>
  <c r="J45" i="8" s="1"/>
  <c r="J6" i="8"/>
  <c r="G27" i="4"/>
  <c r="H3" i="4"/>
  <c r="C3" i="4" s="1"/>
  <c r="D3" i="4" s="1"/>
  <c r="H4" i="4"/>
  <c r="C4" i="4"/>
  <c r="D4" i="4" s="1"/>
  <c r="H5" i="4"/>
  <c r="C5" i="4" s="1"/>
  <c r="H6" i="4"/>
  <c r="C6" i="4" s="1"/>
  <c r="D6" i="4" s="1"/>
  <c r="H7" i="4"/>
  <c r="C7" i="4" s="1"/>
  <c r="D7" i="4" s="1"/>
  <c r="H8" i="4"/>
  <c r="C8" i="4"/>
  <c r="H9" i="4"/>
  <c r="C9" i="4" s="1"/>
  <c r="D9" i="4" s="1"/>
  <c r="H10" i="4"/>
  <c r="C10" i="4" s="1"/>
  <c r="D10" i="4" s="1"/>
  <c r="E10" i="4" s="1"/>
  <c r="H11" i="4"/>
  <c r="C11" i="4" s="1"/>
  <c r="H12" i="4"/>
  <c r="C12" i="4" s="1"/>
  <c r="H13" i="4"/>
  <c r="C13" i="4" s="1"/>
  <c r="H14" i="4"/>
  <c r="H15" i="4"/>
  <c r="C15" i="4"/>
  <c r="D15" i="4" s="1"/>
  <c r="H16" i="4"/>
  <c r="C16" i="4" s="1"/>
  <c r="H17" i="4"/>
  <c r="C17" i="4"/>
  <c r="D17" i="4" s="1"/>
  <c r="H18" i="4"/>
  <c r="C18" i="4" s="1"/>
  <c r="H19" i="4"/>
  <c r="C19" i="4"/>
  <c r="H20" i="4"/>
  <c r="C20" i="4" s="1"/>
  <c r="D20" i="4" s="1"/>
  <c r="H21" i="4"/>
  <c r="C21" i="4" s="1"/>
  <c r="H22" i="4"/>
  <c r="C22" i="4" s="1"/>
  <c r="H23" i="4"/>
  <c r="C23" i="4"/>
  <c r="D23" i="4" s="1"/>
  <c r="H24" i="4"/>
  <c r="C24" i="4"/>
  <c r="E24" i="4" s="1"/>
  <c r="D24" i="4"/>
  <c r="H25" i="4"/>
  <c r="C25" i="4"/>
  <c r="E25" i="4" s="1"/>
  <c r="D25" i="4"/>
  <c r="H26" i="4"/>
  <c r="C26" i="4"/>
  <c r="F27" i="4"/>
  <c r="F40" i="4" s="1"/>
  <c r="F65" i="4" s="1"/>
  <c r="F70" i="4" s="1"/>
  <c r="H28" i="4"/>
  <c r="C28" i="4" s="1"/>
  <c r="H29" i="4"/>
  <c r="C29" i="4"/>
  <c r="D29" i="4" s="1"/>
  <c r="H30" i="4"/>
  <c r="C30" i="4" s="1"/>
  <c r="D30" i="4" s="1"/>
  <c r="E30" i="4" s="1"/>
  <c r="H31" i="4"/>
  <c r="C31" i="4"/>
  <c r="H32" i="4"/>
  <c r="C32" i="4" s="1"/>
  <c r="D32" i="4" s="1"/>
  <c r="E32" i="4" s="1"/>
  <c r="H33" i="4"/>
  <c r="C33" i="4" s="1"/>
  <c r="D33" i="4" s="1"/>
  <c r="E33" i="4" s="1"/>
  <c r="H34" i="4"/>
  <c r="C34" i="4" s="1"/>
  <c r="D34" i="4" s="1"/>
  <c r="H35" i="4"/>
  <c r="C35" i="4"/>
  <c r="H36" i="4"/>
  <c r="C36" i="4" s="1"/>
  <c r="D36" i="4" s="1"/>
  <c r="F37" i="4"/>
  <c r="G37" i="4"/>
  <c r="H38" i="4"/>
  <c r="C38" i="4" s="1"/>
  <c r="H39" i="4"/>
  <c r="C39" i="4"/>
  <c r="H41" i="4"/>
  <c r="C41" i="4" s="1"/>
  <c r="B28" i="7"/>
  <c r="D28" i="7" s="1"/>
  <c r="F28" i="7" s="1"/>
  <c r="G25" i="8"/>
  <c r="J25" i="8" s="1"/>
  <c r="J65" i="4"/>
  <c r="C19" i="7"/>
  <c r="B19" i="7"/>
  <c r="D19" i="7" s="1"/>
  <c r="D12" i="4"/>
  <c r="C14" i="4"/>
  <c r="G43" i="8"/>
  <c r="J43" i="8" s="1"/>
  <c r="C13" i="7"/>
  <c r="B13" i="7"/>
  <c r="H64" i="4"/>
  <c r="H54" i="4"/>
  <c r="H55" i="4"/>
  <c r="C55" i="4"/>
  <c r="D55" i="4" s="1"/>
  <c r="E55" i="4" s="1"/>
  <c r="H56" i="4"/>
  <c r="C56" i="4" s="1"/>
  <c r="H57" i="4"/>
  <c r="C57" i="4"/>
  <c r="D57" i="4" s="1"/>
  <c r="H58" i="4"/>
  <c r="C58" i="4" s="1"/>
  <c r="D58" i="4" s="1"/>
  <c r="H59" i="4"/>
  <c r="C59" i="4"/>
  <c r="D59" i="4" s="1"/>
  <c r="H60" i="4"/>
  <c r="C60" i="4" s="1"/>
  <c r="E60" i="4" s="1"/>
  <c r="B2" i="7"/>
  <c r="C2" i="7"/>
  <c r="B4" i="7"/>
  <c r="H53" i="4"/>
  <c r="C53" i="4"/>
  <c r="H51" i="4"/>
  <c r="C51" i="4" s="1"/>
  <c r="D51" i="4" s="1"/>
  <c r="E51" i="4" s="1"/>
  <c r="H52" i="4"/>
  <c r="C52" i="4"/>
  <c r="D52" i="4" s="1"/>
  <c r="H42" i="4"/>
  <c r="C42" i="4" s="1"/>
  <c r="D42" i="4" s="1"/>
  <c r="E42" i="4" s="1"/>
  <c r="H43" i="4"/>
  <c r="C43" i="4"/>
  <c r="D43" i="4" s="1"/>
  <c r="H44" i="4"/>
  <c r="C44" i="4" s="1"/>
  <c r="D44" i="4" s="1"/>
  <c r="E44" i="4" s="1"/>
  <c r="H45" i="4"/>
  <c r="C45" i="4"/>
  <c r="H46" i="4"/>
  <c r="C46" i="4" s="1"/>
  <c r="H47" i="4"/>
  <c r="C47" i="4"/>
  <c r="H48" i="4"/>
  <c r="C48" i="4" s="1"/>
  <c r="H49" i="4"/>
  <c r="C49" i="4" s="1"/>
  <c r="D49" i="4" s="1"/>
  <c r="H66" i="4"/>
  <c r="C66" i="4"/>
  <c r="J9" i="8"/>
  <c r="G40" i="8"/>
  <c r="J40" i="8" s="1"/>
  <c r="J13" i="8"/>
  <c r="G30" i="8"/>
  <c r="H36" i="8"/>
  <c r="H34" i="8"/>
  <c r="J30" i="8"/>
  <c r="B23" i="7"/>
  <c r="H68" i="4"/>
  <c r="H33" i="8"/>
  <c r="B5" i="7"/>
  <c r="B3" i="7" s="1"/>
  <c r="D3" i="7" s="1"/>
  <c r="J26" i="8"/>
  <c r="C52" i="7"/>
  <c r="C49" i="7" s="1"/>
  <c r="B52" i="7"/>
  <c r="B49" i="7"/>
  <c r="D49" i="7" s="1"/>
  <c r="D48" i="7"/>
  <c r="F48" i="7" s="1"/>
  <c r="C33" i="7"/>
  <c r="C29" i="7"/>
  <c r="B33" i="7"/>
  <c r="B29" i="7" s="1"/>
  <c r="D29" i="7" s="1"/>
  <c r="H67" i="4"/>
  <c r="C67" i="4" s="1"/>
  <c r="H69" i="4"/>
  <c r="J15" i="8"/>
  <c r="G44" i="8"/>
  <c r="J44" i="8" s="1"/>
  <c r="D10" i="7"/>
  <c r="F10" i="7" s="1"/>
  <c r="D11" i="7"/>
  <c r="F11" i="7" s="1"/>
  <c r="D2" i="7"/>
  <c r="F2" i="7"/>
  <c r="C5" i="7"/>
  <c r="C3" i="7" s="1"/>
  <c r="C23" i="7"/>
  <c r="C20" i="7"/>
  <c r="C43" i="7"/>
  <c r="C39" i="7"/>
  <c r="B43" i="7"/>
  <c r="G23" i="8"/>
  <c r="D47" i="4"/>
  <c r="C14" i="7"/>
  <c r="C12" i="7" s="1"/>
  <c r="B14" i="7"/>
  <c r="H2" i="4"/>
  <c r="C2" i="4" s="1"/>
  <c r="E43" i="4"/>
  <c r="D56" i="4"/>
  <c r="C54" i="4"/>
  <c r="D54" i="4"/>
  <c r="E54" i="4" s="1"/>
  <c r="D39" i="4"/>
  <c r="E39" i="4" s="1"/>
  <c r="G52" i="8" s="1"/>
  <c r="J52" i="8" s="1"/>
  <c r="E34" i="4"/>
  <c r="D31" i="4"/>
  <c r="D26" i="4"/>
  <c r="E26" i="4"/>
  <c r="D19" i="4"/>
  <c r="E17" i="4"/>
  <c r="E9" i="4"/>
  <c r="D8" i="4"/>
  <c r="E8" i="4"/>
  <c r="G41" i="8"/>
  <c r="J41" i="8" s="1"/>
  <c r="E52" i="4"/>
  <c r="C68" i="4"/>
  <c r="E29" i="4"/>
  <c r="D67" i="4"/>
  <c r="E49" i="4"/>
  <c r="D60" i="4"/>
  <c r="D28" i="4"/>
  <c r="E59" i="4"/>
  <c r="D5" i="4"/>
  <c r="E5" i="4"/>
  <c r="E20" i="4"/>
  <c r="D48" i="4" l="1"/>
  <c r="E48" i="4" s="1"/>
  <c r="F19" i="7"/>
  <c r="L11" i="11"/>
  <c r="M11" i="11" s="1"/>
  <c r="G42" i="8"/>
  <c r="J42" i="8" s="1"/>
  <c r="J10" i="8"/>
  <c r="F29" i="7"/>
  <c r="G27" i="8"/>
  <c r="J27" i="8" s="1"/>
  <c r="J8" i="8"/>
  <c r="J11" i="8" s="1"/>
  <c r="J19" i="8" s="1"/>
  <c r="B12" i="7"/>
  <c r="D12" i="7" s="1"/>
  <c r="F12" i="7" s="1"/>
  <c r="B20" i="7"/>
  <c r="D20" i="7" s="1"/>
  <c r="F20" i="7" s="1"/>
  <c r="H37" i="4"/>
  <c r="B39" i="7"/>
  <c r="D39" i="7" s="1"/>
  <c r="F39" i="7" s="1"/>
  <c r="L5" i="11"/>
  <c r="M5" i="11" s="1"/>
  <c r="C27" i="4"/>
  <c r="G11" i="8"/>
  <c r="G19" i="8" s="1"/>
  <c r="E67" i="4"/>
  <c r="F49" i="7"/>
  <c r="C37" i="4"/>
  <c r="D41" i="4"/>
  <c r="E41" i="4" s="1"/>
  <c r="C50" i="4"/>
  <c r="E22" i="4"/>
  <c r="D22" i="4"/>
  <c r="D38" i="4"/>
  <c r="E38" i="4" s="1"/>
  <c r="G51" i="8" s="1"/>
  <c r="J51" i="8" s="1"/>
  <c r="D46" i="4"/>
  <c r="E46" i="4" s="1"/>
  <c r="E19" i="4"/>
  <c r="D35" i="4"/>
  <c r="D37" i="4" s="1"/>
  <c r="E35" i="4"/>
  <c r="E23" i="4"/>
  <c r="E3" i="4"/>
  <c r="E58" i="4"/>
  <c r="E47" i="4"/>
  <c r="D45" i="4"/>
  <c r="E45" i="4"/>
  <c r="D53" i="4"/>
  <c r="D14" i="4"/>
  <c r="E14" i="4" s="1"/>
  <c r="D18" i="4"/>
  <c r="E18" i="4" s="1"/>
  <c r="E4" i="4"/>
  <c r="L7" i="11"/>
  <c r="M7" i="11" s="1"/>
  <c r="D21" i="4"/>
  <c r="E21" i="4" s="1"/>
  <c r="E28" i="4"/>
  <c r="D66" i="4"/>
  <c r="D68" i="4" s="1"/>
  <c r="D11" i="4"/>
  <c r="E11" i="4" s="1"/>
  <c r="D16" i="4"/>
  <c r="E16" i="4" s="1"/>
  <c r="D13" i="4"/>
  <c r="E13" i="4" s="1"/>
  <c r="D61" i="4"/>
  <c r="E61" i="4" s="1"/>
  <c r="J23" i="8"/>
  <c r="E57" i="4"/>
  <c r="D2" i="4"/>
  <c r="E2" i="4" s="1"/>
  <c r="C63" i="4"/>
  <c r="H63" i="4"/>
  <c r="E15" i="4"/>
  <c r="E7" i="4"/>
  <c r="F3" i="7"/>
  <c r="D38" i="7"/>
  <c r="F38" i="7" s="1"/>
  <c r="E56" i="4"/>
  <c r="E36" i="4"/>
  <c r="E31" i="4"/>
  <c r="E12" i="4"/>
  <c r="E6" i="4"/>
  <c r="H27" i="4"/>
  <c r="G40" i="4"/>
  <c r="G28" i="8" l="1"/>
  <c r="N27" i="8"/>
  <c r="J28" i="8"/>
  <c r="J32" i="8" s="1"/>
  <c r="D63" i="4"/>
  <c r="C40" i="4"/>
  <c r="C65" i="4" s="1"/>
  <c r="C70" i="4" s="1"/>
  <c r="H40" i="4"/>
  <c r="H65" i="4" s="1"/>
  <c r="G65" i="4"/>
  <c r="G70" i="4" s="1"/>
  <c r="H70" i="4" s="1"/>
  <c r="E37" i="4"/>
  <c r="G50" i="8" s="1"/>
  <c r="J50" i="8" s="1"/>
  <c r="E27" i="4"/>
  <c r="D27" i="4"/>
  <c r="D40" i="4" s="1"/>
  <c r="E66" i="4"/>
  <c r="E68" i="4" s="1"/>
  <c r="E53" i="4"/>
  <c r="E63" i="4" s="1"/>
  <c r="D50" i="4"/>
  <c r="E50" i="4" s="1"/>
  <c r="D65" i="4" l="1"/>
  <c r="D70" i="4" s="1"/>
  <c r="E40" i="4"/>
  <c r="E65" i="4" s="1"/>
  <c r="E70" i="4" s="1"/>
  <c r="N52" i="8" l="1"/>
  <c r="J48" i="8"/>
  <c r="J53" i="8" s="1"/>
  <c r="G5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楊一青</author>
    <author>Administrator</author>
  </authors>
  <commentList>
    <comment ref="B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fbusr:
</t>
        </r>
        <r>
          <rPr>
            <b/>
            <sz val="9"/>
            <color indexed="81"/>
            <rFont val="細明體"/>
            <family val="3"/>
            <charset val="136"/>
          </rPr>
          <t>銷售額</t>
        </r>
      </text>
    </comment>
    <comment ref="C1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例如：</t>
        </r>
        <r>
          <rPr>
            <sz val="9"/>
            <color indexed="81"/>
            <rFont val="Tahoma"/>
            <family val="2"/>
          </rPr>
          <t>4929-099-097(</t>
        </r>
        <r>
          <rPr>
            <sz val="9"/>
            <color indexed="81"/>
            <rFont val="細明體"/>
            <family val="3"/>
            <charset val="136"/>
          </rPr>
          <t>費用提存沖回轉什收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不是真的收入，不需列入，但若有真正的收入掛於</t>
        </r>
        <r>
          <rPr>
            <sz val="9"/>
            <color indexed="81"/>
            <rFont val="Tahoma"/>
            <family val="2"/>
          </rPr>
          <t>4929-099-097</t>
        </r>
        <r>
          <rPr>
            <sz val="9"/>
            <color indexed="81"/>
            <rFont val="細明體"/>
            <family val="3"/>
            <charset val="136"/>
          </rPr>
          <t>，則需計入，因會影響不可扣抵比例。
申報書也要列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免稅銷售額欄位</t>
        </r>
        <r>
          <rPr>
            <sz val="9"/>
            <color indexed="81"/>
            <rFont val="Tahoma"/>
            <family val="2"/>
          </rPr>
          <t>)</t>
        </r>
      </text>
    </comment>
    <comment ref="E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fbusr:
</t>
        </r>
        <r>
          <rPr>
            <b/>
            <sz val="9"/>
            <color indexed="81"/>
            <rFont val="細明體"/>
            <family val="3"/>
            <charset val="136"/>
          </rPr>
          <t>營業稅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fbusr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user:</t>
        </r>
        <r>
          <rPr>
            <sz val="9"/>
            <color indexed="81"/>
            <rFont val="新細明體"/>
            <family val="1"/>
            <charset val="136"/>
          </rPr>
          <t xml:space="preserve">
103/8更名</t>
        </r>
      </text>
    </comment>
    <comment ref="B6" authorId="1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存放同業息：
　營業稅：5%
　印花稅：免稅
    福利金：0.15%</t>
        </r>
      </text>
    </comment>
    <comment ref="B26" authorId="1" shapeId="0" xr:uid="{00000000-0006-0000-0200-000003000000}">
      <text>
        <r>
          <rPr>
            <b/>
            <sz val="8"/>
            <color indexed="81"/>
            <rFont val="新細明體"/>
            <family val="1"/>
            <charset val="136"/>
          </rPr>
          <t>fbusr:</t>
        </r>
        <r>
          <rPr>
            <sz val="8"/>
            <color indexed="81"/>
            <rFont val="新細明體"/>
            <family val="1"/>
            <charset val="136"/>
          </rPr>
          <t xml:space="preserve">
押金設算息：
　營業稅：免稅
　印花稅：0.4%
    福利金：0.15%</t>
        </r>
      </text>
    </comment>
    <comment ref="B32" authorId="1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fbus
H6---2178-060-061
國內他行卡代收代付手續費</t>
        </r>
      </text>
    </comment>
    <comment ref="B40" authorId="1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存放同業息：
　營業稅：5%
　印花稅：免稅
    福利金：0.15%</t>
        </r>
      </text>
    </comment>
    <comment ref="B44" authorId="1" shapeId="0" xr:uid="{00000000-0006-0000-0200-000006000000}">
      <text>
        <r>
          <rPr>
            <b/>
            <sz val="8"/>
            <color indexed="81"/>
            <rFont val="新細明體"/>
            <family val="1"/>
            <charset val="136"/>
          </rPr>
          <t>fbusr:</t>
        </r>
        <r>
          <rPr>
            <sz val="8"/>
            <color indexed="81"/>
            <rFont val="新細明體"/>
            <family val="1"/>
            <charset val="136"/>
          </rPr>
          <t xml:space="preserve">
押金設算息：
　營業稅：免稅
　印花稅：0.4%
    福利金：0.15%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fbusr</author>
    <author>Administrator</author>
  </authors>
  <commentList>
    <comment ref="B2" authorId="0" shapeId="0" xr:uid="{00000000-0006-0000-0400-000001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C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需待素如入帳後（紅利及現金回饋折抵手續費收入）才能算新增收入
</t>
        </r>
      </text>
    </comment>
    <comment ref="B4" authorId="0" shapeId="0" xr:uid="{00000000-0006-0000-0400-000003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  <comment ref="B17" authorId="0" shapeId="0" xr:uid="{00000000-0006-0000-0400-000004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中華電信-發票</t>
        </r>
      </text>
    </comment>
    <comment ref="B19" authorId="0" shapeId="0" xr:uid="{00000000-0006-0000-0400-000005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  <comment ref="B20" authorId="0" shapeId="0" xr:uid="{00000000-0006-0000-0400-000006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B28" authorId="0" shapeId="0" xr:uid="{00000000-0006-0000-0400-000007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發票</t>
        </r>
      </text>
    </comment>
    <comment ref="C2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實際帳列增加數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不管調整</t>
        </r>
        <r>
          <rPr>
            <sz val="9"/>
            <color indexed="81"/>
            <rFont val="Tahoma"/>
            <family val="2"/>
          </rPr>
          <t>)</t>
        </r>
      </text>
    </comment>
    <comment ref="B29" authorId="0" shapeId="0" xr:uid="{00000000-0006-0000-0400-000009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發票</t>
        </r>
      </text>
    </comment>
    <comment ref="B30" authorId="0" shapeId="0" xr:uid="{00000000-0006-0000-0400-00000A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B34" authorId="0" shapeId="0" xr:uid="{00000000-0006-0000-0400-00000B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
</t>
        </r>
      </text>
    </comment>
    <comment ref="B53" authorId="0" shapeId="0" xr:uid="{00000000-0006-0000-0400-00000C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</commentList>
</comments>
</file>

<file path=xl/sharedStrings.xml><?xml version="1.0" encoding="utf-8"?>
<sst xmlns="http://schemas.openxmlformats.org/spreadsheetml/2006/main" count="384" uniqueCount="238">
  <si>
    <t>4516-033-004</t>
  </si>
  <si>
    <t>4516-033-005</t>
  </si>
  <si>
    <t>4516-033-021</t>
  </si>
  <si>
    <t>4516-033-022</t>
  </si>
  <si>
    <t>4516-033-023</t>
  </si>
  <si>
    <t>4516-033-024</t>
  </si>
  <si>
    <t>4516-033-025</t>
  </si>
  <si>
    <t>4516-033-026</t>
  </si>
  <si>
    <t>4516-033-027</t>
  </si>
  <si>
    <t>4516-033-028</t>
  </si>
  <si>
    <t>4911-000-000(H2)</t>
  </si>
  <si>
    <t>4911-000-000(H3)</t>
  </si>
  <si>
    <t>4911-000-000(H4)</t>
  </si>
  <si>
    <t>4911-000-000(H5)</t>
  </si>
  <si>
    <t>4911-000-000(H6)</t>
  </si>
  <si>
    <t>4929-099-099(H3)</t>
  </si>
  <si>
    <t>科子細目</t>
    <phoneticPr fontId="19" type="noConversion"/>
  </si>
  <si>
    <t>總額</t>
    <phoneticPr fontId="19" type="noConversion"/>
  </si>
  <si>
    <t>銷項稅額</t>
    <phoneticPr fontId="19" type="noConversion"/>
  </si>
  <si>
    <t>銷售額</t>
    <phoneticPr fontId="19" type="noConversion"/>
  </si>
  <si>
    <t>4516-033-001</t>
    <phoneticPr fontId="19" type="noConversion"/>
  </si>
  <si>
    <t>4516-033-003</t>
    <phoneticPr fontId="19" type="noConversion"/>
  </si>
  <si>
    <t>4516-033-020</t>
    <phoneticPr fontId="19" type="noConversion"/>
  </si>
  <si>
    <t>4516-033-040</t>
    <phoneticPr fontId="19" type="noConversion"/>
  </si>
  <si>
    <t>4516-033-060</t>
    <phoneticPr fontId="19" type="noConversion"/>
  </si>
  <si>
    <t>4516-033-070</t>
    <phoneticPr fontId="19" type="noConversion"/>
  </si>
  <si>
    <t>4516-033-071(HK)</t>
    <phoneticPr fontId="19" type="noConversion"/>
  </si>
  <si>
    <t>4516-033-071(HL)</t>
    <phoneticPr fontId="19" type="noConversion"/>
  </si>
  <si>
    <t>4516-033-099</t>
    <phoneticPr fontId="19" type="noConversion"/>
  </si>
  <si>
    <t>小計</t>
    <phoneticPr fontId="19" type="noConversion"/>
  </si>
  <si>
    <t>4516-060-000(H6)</t>
    <phoneticPr fontId="19" type="noConversion"/>
  </si>
  <si>
    <t>4516-061-000</t>
    <phoneticPr fontId="19" type="noConversion"/>
  </si>
  <si>
    <t>4516-084-001</t>
    <phoneticPr fontId="19" type="noConversion"/>
  </si>
  <si>
    <t>合計</t>
    <phoneticPr fontId="19" type="noConversion"/>
  </si>
  <si>
    <t>4911-000-000(H1)</t>
    <phoneticPr fontId="19" type="noConversion"/>
  </si>
  <si>
    <t>4911-000-000(H7)</t>
    <phoneticPr fontId="19" type="noConversion"/>
  </si>
  <si>
    <t>4929-099-099(HH)</t>
    <phoneticPr fontId="19" type="noConversion"/>
  </si>
  <si>
    <t>4929-099-099(HL)</t>
    <phoneticPr fontId="19" type="noConversion"/>
  </si>
  <si>
    <t>4929-099-099(H1)</t>
    <phoneticPr fontId="19" type="noConversion"/>
  </si>
  <si>
    <t>4929-099-099(H6)</t>
    <phoneticPr fontId="19" type="noConversion"/>
  </si>
  <si>
    <t>總計</t>
    <phoneticPr fontId="19" type="noConversion"/>
  </si>
  <si>
    <t>銷項共計</t>
    <phoneticPr fontId="19" type="noConversion"/>
  </si>
  <si>
    <t>一般稅額</t>
    <phoneticPr fontId="19" type="noConversion"/>
  </si>
  <si>
    <t>免稅銷售額</t>
    <phoneticPr fontId="19" type="noConversion"/>
  </si>
  <si>
    <t>特種稅額</t>
    <phoneticPr fontId="19" type="noConversion"/>
  </si>
  <si>
    <t>銷售額總計</t>
    <phoneticPr fontId="19" type="noConversion"/>
  </si>
  <si>
    <t>一月</t>
    <phoneticPr fontId="19" type="noConversion"/>
  </si>
  <si>
    <t>二月</t>
    <phoneticPr fontId="19" type="noConversion"/>
  </si>
  <si>
    <t>三月</t>
    <phoneticPr fontId="19" type="noConversion"/>
  </si>
  <si>
    <t>四月</t>
    <phoneticPr fontId="19" type="noConversion"/>
  </si>
  <si>
    <t>五月</t>
    <phoneticPr fontId="19" type="noConversion"/>
  </si>
  <si>
    <t>六月</t>
    <phoneticPr fontId="19" type="noConversion"/>
  </si>
  <si>
    <t>七月</t>
    <phoneticPr fontId="19" type="noConversion"/>
  </si>
  <si>
    <t>八月</t>
    <phoneticPr fontId="19" type="noConversion"/>
  </si>
  <si>
    <t>九月</t>
    <phoneticPr fontId="19" type="noConversion"/>
  </si>
  <si>
    <t>十月</t>
    <phoneticPr fontId="19" type="noConversion"/>
  </si>
  <si>
    <t>十一月</t>
    <phoneticPr fontId="19" type="noConversion"/>
  </si>
  <si>
    <t>十二月</t>
    <phoneticPr fontId="19" type="noConversion"/>
  </si>
  <si>
    <t>銷售額</t>
    <phoneticPr fontId="19" type="noConversion"/>
  </si>
  <si>
    <t>稅額</t>
    <phoneticPr fontId="19" type="noConversion"/>
  </si>
  <si>
    <t>電子式</t>
    <phoneticPr fontId="19" type="noConversion"/>
  </si>
  <si>
    <t>營業人使用三聯式統一發票明細表</t>
    <phoneticPr fontId="19" type="noConversion"/>
  </si>
  <si>
    <t>免用發票</t>
    <phoneticPr fontId="19" type="noConversion"/>
  </si>
  <si>
    <t>銷貨折讓</t>
    <phoneticPr fontId="19" type="noConversion"/>
  </si>
  <si>
    <t>合計</t>
    <phoneticPr fontId="19" type="noConversion"/>
  </si>
  <si>
    <r>
      <t>1</t>
    </r>
    <r>
      <rPr>
        <sz val="12"/>
        <rFont val="細明體"/>
        <family val="3"/>
        <charset val="136"/>
      </rPr>
      <t>月</t>
    </r>
    <phoneticPr fontId="19" type="noConversion"/>
  </si>
  <si>
    <t>銷項稅額表中的銷售額、稅額</t>
    <phoneticPr fontId="19" type="noConversion"/>
  </si>
  <si>
    <r>
      <t>2</t>
    </r>
    <r>
      <rPr>
        <sz val="12"/>
        <rFont val="細明體"/>
        <family val="3"/>
        <charset val="136"/>
      </rPr>
      <t>月</t>
    </r>
    <phoneticPr fontId="19" type="noConversion"/>
  </si>
  <si>
    <t>二聯式</t>
    <phoneticPr fontId="19" type="noConversion"/>
  </si>
  <si>
    <r>
      <t>3</t>
    </r>
    <r>
      <rPr>
        <sz val="12"/>
        <rFont val="細明體"/>
        <family val="3"/>
        <charset val="136"/>
      </rPr>
      <t>月</t>
    </r>
    <phoneticPr fontId="19" type="noConversion"/>
  </si>
  <si>
    <r>
      <t>4</t>
    </r>
    <r>
      <rPr>
        <sz val="12"/>
        <rFont val="細明體"/>
        <family val="3"/>
        <charset val="136"/>
      </rPr>
      <t>月</t>
    </r>
    <phoneticPr fontId="19" type="noConversion"/>
  </si>
  <si>
    <r>
      <t>5</t>
    </r>
    <r>
      <rPr>
        <sz val="12"/>
        <rFont val="細明體"/>
        <family val="3"/>
        <charset val="136"/>
      </rPr>
      <t>月</t>
    </r>
    <phoneticPr fontId="19" type="noConversion"/>
  </si>
  <si>
    <r>
      <t>6</t>
    </r>
    <r>
      <rPr>
        <sz val="12"/>
        <rFont val="細明體"/>
        <family val="3"/>
        <charset val="136"/>
      </rPr>
      <t>月</t>
    </r>
    <phoneticPr fontId="19" type="noConversion"/>
  </si>
  <si>
    <t>營業稅額計算</t>
  </si>
  <si>
    <t>印花稅額計算</t>
  </si>
  <si>
    <t>信用卡處營業稅、印花稅報繳計算表</t>
    <phoneticPr fontId="19" type="noConversion"/>
  </si>
  <si>
    <r>
      <rPr>
        <b/>
        <sz val="14"/>
        <rFont val="標楷體"/>
        <family val="4"/>
        <charset val="136"/>
      </rPr>
      <t>一、</t>
    </r>
    <phoneticPr fontId="19" type="noConversion"/>
  </si>
  <si>
    <r>
      <rPr>
        <b/>
        <sz val="14"/>
        <rFont val="標楷體"/>
        <family val="4"/>
        <charset val="136"/>
      </rPr>
      <t>本業收入營業稅：</t>
    </r>
    <phoneticPr fontId="19" type="noConversion"/>
  </si>
  <si>
    <r>
      <t>1</t>
    </r>
    <r>
      <rPr>
        <sz val="12"/>
        <rFont val="標楷體"/>
        <family val="4"/>
        <charset val="136"/>
      </rPr>
      <t>、利息收入（</t>
    </r>
    <r>
      <rPr>
        <sz val="12"/>
        <rFont val="Times New Roman"/>
        <family val="1"/>
      </rPr>
      <t>4501</t>
    </r>
    <r>
      <rPr>
        <sz val="12"/>
        <rFont val="標楷體"/>
        <family val="4"/>
        <charset val="136"/>
      </rPr>
      <t>）：</t>
    </r>
    <phoneticPr fontId="19" type="noConversion"/>
  </si>
  <si>
    <r>
      <rPr>
        <sz val="12"/>
        <rFont val="標楷體"/>
        <family val="4"/>
        <charset val="136"/>
      </rPr>
      <t>本月實際發生數</t>
    </r>
    <phoneticPr fontId="19" type="noConversion"/>
  </si>
  <si>
    <r>
      <rPr>
        <sz val="12"/>
        <rFont val="標楷體"/>
        <family val="4"/>
        <charset val="136"/>
      </rPr>
      <t>稅額</t>
    </r>
    <phoneticPr fontId="19" type="noConversion"/>
  </si>
  <si>
    <r>
      <rPr>
        <sz val="12"/>
        <rFont val="標楷體"/>
        <family val="4"/>
        <charset val="136"/>
      </rPr>
      <t>合　　計</t>
    </r>
    <phoneticPr fontId="19" type="noConversion"/>
  </si>
  <si>
    <t>系統計算</t>
    <phoneticPr fontId="19" type="noConversion"/>
  </si>
  <si>
    <r>
      <t>2</t>
    </r>
    <r>
      <rPr>
        <sz val="12"/>
        <rFont val="標楷體"/>
        <family val="4"/>
        <charset val="136"/>
      </rPr>
      <t>、其他：</t>
    </r>
    <phoneticPr fontId="19" type="noConversion"/>
  </si>
  <si>
    <t>應申報受償利息收入稅額計算(應納稅額）:</t>
    <phoneticPr fontId="19" type="noConversion"/>
  </si>
  <si>
    <r>
      <rPr>
        <sz val="12"/>
        <rFont val="標楷體"/>
        <family val="4"/>
        <charset val="136"/>
      </rPr>
      <t>人工鍵機</t>
    </r>
    <phoneticPr fontId="19" type="noConversion"/>
  </si>
  <si>
    <t>本業收入小計</t>
    <phoneticPr fontId="19" type="noConversion"/>
  </si>
  <si>
    <t>營業稅額小計</t>
    <phoneticPr fontId="19" type="noConversion"/>
  </si>
  <si>
    <t>日終要驗算各科目實際發生數</t>
    <phoneticPr fontId="19" type="noConversion"/>
  </si>
  <si>
    <r>
      <rPr>
        <b/>
        <sz val="14"/>
        <rFont val="標楷體"/>
        <family val="4"/>
        <charset val="136"/>
      </rPr>
      <t>二、</t>
    </r>
    <phoneticPr fontId="19" type="noConversion"/>
  </si>
  <si>
    <r>
      <rPr>
        <b/>
        <sz val="14"/>
        <rFont val="標楷體"/>
        <family val="4"/>
        <charset val="136"/>
      </rPr>
      <t>印花稅：</t>
    </r>
    <phoneticPr fontId="19" type="noConversion"/>
  </si>
  <si>
    <t>要驗算合計數</t>
    <phoneticPr fontId="19" type="noConversion"/>
  </si>
  <si>
    <r>
      <t>2</t>
    </r>
    <r>
      <rPr>
        <sz val="12"/>
        <rFont val="標楷體"/>
        <family val="4"/>
        <charset val="136"/>
      </rPr>
      <t>、其他：</t>
    </r>
    <r>
      <rPr>
        <sz val="12"/>
        <rFont val="Times New Roman"/>
        <family val="1"/>
      </rPr>
      <t>(</t>
    </r>
    <r>
      <rPr>
        <sz val="12"/>
        <rFont val="標楷體"/>
        <family val="4"/>
        <charset val="136"/>
      </rPr>
      <t>註</t>
    </r>
    <r>
      <rPr>
        <sz val="12"/>
        <rFont val="Times New Roman"/>
        <family val="1"/>
      </rPr>
      <t>)</t>
    </r>
    <phoneticPr fontId="19" type="noConversion"/>
  </si>
  <si>
    <t>　　國內他行卡代收代付手續費</t>
    <phoneticPr fontId="19" type="noConversion"/>
  </si>
  <si>
    <t>* 0.4% =</t>
    <phoneticPr fontId="19" type="noConversion"/>
  </si>
  <si>
    <t>印花稅額小計</t>
    <phoneticPr fontId="19" type="noConversion"/>
  </si>
  <si>
    <t>　　代收代付台哥大電信回饋金</t>
    <phoneticPr fontId="19" type="noConversion"/>
  </si>
  <si>
    <t>　　台灣大車隊行動支付回饋金</t>
    <phoneticPr fontId="19" type="noConversion"/>
  </si>
  <si>
    <r>
      <rPr>
        <b/>
        <sz val="14"/>
        <rFont val="標楷體"/>
        <family val="4"/>
        <charset val="136"/>
      </rPr>
      <t>三、</t>
    </r>
    <phoneticPr fontId="19" type="noConversion"/>
  </si>
  <si>
    <r>
      <rPr>
        <b/>
        <sz val="12"/>
        <rFont val="標楷體"/>
        <family val="4"/>
        <charset val="136"/>
      </rPr>
      <t>應提撥福利金</t>
    </r>
    <phoneticPr fontId="19" type="noConversion"/>
  </si>
  <si>
    <r>
      <rPr>
        <sz val="12"/>
        <rFont val="標楷體"/>
        <family val="4"/>
        <charset val="136"/>
      </rPr>
      <t>合　計</t>
    </r>
    <phoneticPr fontId="19" type="noConversion"/>
  </si>
  <si>
    <r>
      <t>2</t>
    </r>
    <r>
      <rPr>
        <sz val="12"/>
        <rFont val="標楷體"/>
        <family val="4"/>
        <charset val="136"/>
      </rPr>
      <t>、手續費收入（</t>
    </r>
    <r>
      <rPr>
        <sz val="12"/>
        <rFont val="Times New Roman"/>
        <family val="1"/>
      </rPr>
      <t>4516</t>
    </r>
    <r>
      <rPr>
        <sz val="12"/>
        <rFont val="標楷體"/>
        <family val="4"/>
        <charset val="136"/>
      </rPr>
      <t>）：</t>
    </r>
    <phoneticPr fontId="19" type="noConversion"/>
  </si>
  <si>
    <r>
      <t>4501</t>
    </r>
    <r>
      <rPr>
        <sz val="12"/>
        <color indexed="17"/>
        <rFont val="細明體"/>
        <family val="3"/>
        <charset val="136"/>
      </rPr>
      <t>總合</t>
    </r>
    <phoneticPr fontId="19" type="noConversion"/>
  </si>
  <si>
    <t>4516000000-4516033081-4516033082</t>
    <phoneticPr fontId="19" type="noConversion"/>
  </si>
  <si>
    <t>全年度可扣減稅額計算(可扣抵稅額)</t>
    <phoneticPr fontId="19" type="noConversion"/>
  </si>
  <si>
    <t>抵減</t>
    <phoneticPr fontId="19" type="noConversion"/>
  </si>
  <si>
    <t>4516-033-071(HM)</t>
    <phoneticPr fontId="19" type="noConversion"/>
  </si>
  <si>
    <t>科長</t>
    <phoneticPr fontId="19" type="noConversion"/>
  </si>
  <si>
    <t>覆核</t>
    <phoneticPr fontId="19" type="noConversion"/>
  </si>
  <si>
    <t>4516-033-050(H1)</t>
    <phoneticPr fontId="19" type="noConversion"/>
  </si>
  <si>
    <t>4516-033-050(HH)</t>
    <phoneticPr fontId="19" type="noConversion"/>
  </si>
  <si>
    <t>4912-001-000(H1)</t>
    <phoneticPr fontId="19" type="noConversion"/>
  </si>
  <si>
    <t>二聯式</t>
    <phoneticPr fontId="19" type="noConversion"/>
  </si>
  <si>
    <t>部主管</t>
    <phoneticPr fontId="19" type="noConversion"/>
  </si>
  <si>
    <t>經辦</t>
    <phoneticPr fontId="19" type="noConversion"/>
  </si>
  <si>
    <r>
      <t>7</t>
    </r>
    <r>
      <rPr>
        <sz val="12"/>
        <rFont val="細明體"/>
        <family val="3"/>
        <charset val="136"/>
      </rPr>
      <t>月</t>
    </r>
    <phoneticPr fontId="19" type="noConversion"/>
  </si>
  <si>
    <r>
      <t>8</t>
    </r>
    <r>
      <rPr>
        <sz val="12"/>
        <rFont val="細明體"/>
        <family val="3"/>
        <charset val="136"/>
      </rPr>
      <t>月</t>
    </r>
    <phoneticPr fontId="19" type="noConversion"/>
  </si>
  <si>
    <t>三聯式</t>
    <phoneticPr fontId="19" type="noConversion"/>
  </si>
  <si>
    <t>4516-033-002</t>
    <phoneticPr fontId="19" type="noConversion"/>
  </si>
  <si>
    <r>
      <t>9</t>
    </r>
    <r>
      <rPr>
        <sz val="12"/>
        <rFont val="細明體"/>
        <family val="3"/>
        <charset val="136"/>
      </rPr>
      <t>月</t>
    </r>
    <phoneticPr fontId="19" type="noConversion"/>
  </si>
  <si>
    <r>
      <t>10</t>
    </r>
    <r>
      <rPr>
        <sz val="12"/>
        <rFont val="細明體"/>
        <family val="3"/>
        <charset val="136"/>
      </rPr>
      <t>月</t>
    </r>
    <phoneticPr fontId="19" type="noConversion"/>
  </si>
  <si>
    <r>
      <t>11</t>
    </r>
    <r>
      <rPr>
        <sz val="12"/>
        <rFont val="細明體"/>
        <family val="3"/>
        <charset val="136"/>
      </rPr>
      <t>月</t>
    </r>
    <phoneticPr fontId="19" type="noConversion"/>
  </si>
  <si>
    <r>
      <t>12</t>
    </r>
    <r>
      <rPr>
        <sz val="12"/>
        <rFont val="細明體"/>
        <family val="3"/>
        <charset val="136"/>
      </rPr>
      <t>月</t>
    </r>
    <phoneticPr fontId="19" type="noConversion"/>
  </si>
  <si>
    <t>4912-001-000(H6)</t>
    <phoneticPr fontId="19" type="noConversion"/>
  </si>
  <si>
    <t>4929-099-099(HH)</t>
    <phoneticPr fontId="19" type="noConversion"/>
  </si>
  <si>
    <t>4929-099-097(H1)</t>
    <phoneticPr fontId="19" type="noConversion"/>
  </si>
  <si>
    <t>4516-033-006</t>
  </si>
  <si>
    <t>001</t>
    <phoneticPr fontId="19" type="noConversion"/>
  </si>
  <si>
    <t>002</t>
    <phoneticPr fontId="19" type="noConversion"/>
  </si>
  <si>
    <t>003</t>
    <phoneticPr fontId="19" type="noConversion"/>
  </si>
  <si>
    <t>012</t>
    <phoneticPr fontId="19" type="noConversion"/>
  </si>
  <si>
    <t>013</t>
    <phoneticPr fontId="19" type="noConversion"/>
  </si>
  <si>
    <t>021</t>
    <phoneticPr fontId="19" type="noConversion"/>
  </si>
  <si>
    <r>
      <t>（</t>
    </r>
    <r>
      <rPr>
        <sz val="12"/>
        <rFont val="Times New Roman"/>
        <family val="1"/>
      </rPr>
      <t>002-000</t>
    </r>
    <r>
      <rPr>
        <sz val="12"/>
        <rFont val="細明體"/>
        <family val="3"/>
        <charset val="136"/>
      </rPr>
      <t>）</t>
    </r>
  </si>
  <si>
    <r>
      <t xml:space="preserve">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 xml:space="preserve">   a.</t>
    </r>
    <r>
      <rPr>
        <sz val="12"/>
        <rFont val="標楷體"/>
        <family val="4"/>
        <charset val="136"/>
      </rPr>
      <t>存放同業息</t>
    </r>
    <r>
      <rPr>
        <sz val="12"/>
        <rFont val="Times New Roman"/>
        <family val="1"/>
      </rPr>
      <t xml:space="preserve">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</si>
  <si>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b.</t>
    </r>
    <r>
      <rPr>
        <sz val="12"/>
        <rFont val="標楷體"/>
        <family val="4"/>
        <charset val="136"/>
      </rPr>
      <t>信卡循環息</t>
    </r>
    <r>
      <rPr>
        <sz val="12"/>
        <rFont val="Times New Roman"/>
        <family val="1"/>
      </rPr>
      <t xml:space="preserve">          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</si>
  <si>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024-000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</si>
  <si>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c.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年金法</t>
    </r>
    <r>
      <rPr>
        <sz val="12"/>
        <rFont val="Times New Roman"/>
        <family val="1"/>
      </rPr>
      <t xml:space="preserve">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</si>
  <si>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062-001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</si>
  <si>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d.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遲延息</t>
    </r>
    <r>
      <rPr>
        <sz val="12"/>
        <rFont val="Times New Roman"/>
        <family val="1"/>
      </rPr>
      <t xml:space="preserve">  </t>
    </r>
    <r>
      <rPr>
        <sz val="14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</si>
  <si>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062-002</t>
    </r>
    <r>
      <rPr>
        <sz val="12"/>
        <rFont val="細明體"/>
        <family val="3"/>
        <charset val="136"/>
      </rPr>
      <t>）</t>
    </r>
  </si>
  <si>
    <r>
      <t xml:space="preserve">        e.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</si>
  <si>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099-000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</si>
  <si>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a.</t>
    </r>
    <r>
      <rPr>
        <sz val="12"/>
        <rFont val="標楷體"/>
        <family val="4"/>
        <charset val="136"/>
      </rPr>
      <t>信卡循環息</t>
    </r>
    <r>
      <rPr>
        <sz val="12"/>
        <rFont val="Times New Roman"/>
        <family val="1"/>
      </rPr>
      <t xml:space="preserve">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</si>
  <si>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b.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年金法</t>
    </r>
    <r>
      <rPr>
        <sz val="12"/>
        <rFont val="Times New Roman"/>
        <family val="1"/>
      </rPr>
      <t xml:space="preserve">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</si>
  <si>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c.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遲延息</t>
    </r>
    <r>
      <rPr>
        <sz val="12"/>
        <rFont val="Times New Roman"/>
        <family val="1"/>
      </rPr>
      <t xml:space="preserve">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</si>
  <si>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d.</t>
    </r>
    <r>
      <rPr>
        <sz val="12"/>
        <rFont val="標楷體"/>
        <family val="4"/>
        <charset val="136"/>
      </rPr>
      <t>押金設算息</t>
    </r>
    <r>
      <rPr>
        <sz val="12"/>
        <rFont val="Times New Roman"/>
        <family val="1"/>
      </rPr>
      <t>(</t>
    </r>
    <r>
      <rPr>
        <sz val="12"/>
        <rFont val="標楷體"/>
        <family val="4"/>
        <charset val="136"/>
      </rPr>
      <t>免稅</t>
    </r>
    <r>
      <rPr>
        <sz val="12"/>
        <rFont val="Times New Roman"/>
        <family val="1"/>
      </rPr>
      <t xml:space="preserve">)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</si>
  <si>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097-000</t>
    </r>
    <r>
      <rPr>
        <sz val="12"/>
        <rFont val="細明體"/>
        <family val="3"/>
        <charset val="136"/>
      </rPr>
      <t>）</t>
    </r>
  </si>
  <si>
    <r>
      <t xml:space="preserve">        e.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</si>
  <si>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e.</t>
    </r>
    <r>
      <rPr>
        <sz val="12"/>
        <rFont val="標楷體"/>
        <family val="4"/>
        <charset val="136"/>
      </rPr>
      <t>押金設算息</t>
    </r>
    <r>
      <rPr>
        <sz val="12"/>
        <rFont val="Times New Roman"/>
        <family val="1"/>
      </rPr>
      <t xml:space="preserve">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</si>
  <si>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f.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   </t>
    </r>
    <r>
      <rPr>
        <sz val="12"/>
        <rFont val="標楷體"/>
        <family val="4"/>
        <charset val="136"/>
      </rPr>
      <t/>
    </r>
    <phoneticPr fontId="19" type="noConversion"/>
  </si>
  <si>
    <t>005</t>
    <phoneticPr fontId="19" type="noConversion"/>
  </si>
  <si>
    <t>　　沒卡獎金代扣印花稅</t>
    <phoneticPr fontId="19" type="noConversion"/>
  </si>
  <si>
    <t>031</t>
    <phoneticPr fontId="19" type="noConversion"/>
  </si>
  <si>
    <t>責任中心</t>
    <phoneticPr fontId="53" type="noConversion"/>
  </si>
  <si>
    <t>會計項目</t>
  </si>
  <si>
    <t>產品分類</t>
  </si>
  <si>
    <t>R00H1</t>
  </si>
  <si>
    <t>C01</t>
  </si>
  <si>
    <t>C02</t>
  </si>
  <si>
    <t>420666103</t>
  </si>
  <si>
    <t>01304</t>
  </si>
  <si>
    <t>000</t>
  </si>
  <si>
    <t>01275</t>
    <phoneticPr fontId="53" type="noConversion"/>
  </si>
  <si>
    <t>R00H6</t>
  </si>
  <si>
    <r>
      <t>註：存入保證金</t>
    </r>
    <r>
      <rPr>
        <sz val="12"/>
        <color indexed="10"/>
        <rFont val="標楷體"/>
        <family val="4"/>
        <charset val="136"/>
      </rPr>
      <t>等</t>
    </r>
    <r>
      <rPr>
        <sz val="12"/>
        <rFont val="標楷體"/>
        <family val="4"/>
        <charset val="136"/>
      </rPr>
      <t>非手續費收入類科目所開立收據之金額合計</t>
    </r>
    <phoneticPr fontId="19" type="noConversion"/>
  </si>
  <si>
    <t>註：代扣項目(收受外來憑證代扣印花稅)</t>
    <phoneticPr fontId="19" type="noConversion"/>
  </si>
  <si>
    <t>福利金</t>
    <phoneticPr fontId="19" type="noConversion"/>
  </si>
  <si>
    <t>Date</t>
  </si>
  <si>
    <t>Time</t>
  </si>
  <si>
    <t>Log Level</t>
  </si>
  <si>
    <t>Source</t>
  </si>
  <si>
    <t>Description</t>
  </si>
  <si>
    <t>Action</t>
  </si>
  <si>
    <t>ERROR</t>
  </si>
  <si>
    <t>Worksheet_Change</t>
  </si>
  <si>
    <t>Error: 1004 應用程式或物件定義上的錯誤</t>
  </si>
  <si>
    <t>固定資產移轉</t>
    <phoneticPr fontId="19" type="noConversion"/>
  </si>
  <si>
    <t>(舊)4929-099-099(HN)
(新)48099-99-99-000
贈品庫存</t>
    <phoneticPr fontId="19" type="noConversion"/>
  </si>
  <si>
    <t>(舊)版塊HN
(新)責任中心01279</t>
    <phoneticPr fontId="19" type="noConversion"/>
  </si>
  <si>
    <t>零稅率</t>
    <phoneticPr fontId="19" type="noConversion"/>
  </si>
  <si>
    <t>分戶</t>
    <phoneticPr fontId="19" type="noConversion"/>
  </si>
  <si>
    <r>
      <t xml:space="preserve">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 xml:space="preserve">  a.</t>
    </r>
    <r>
      <rPr>
        <sz val="12"/>
        <rFont val="標楷體"/>
        <family val="4"/>
        <charset val="136"/>
      </rPr>
      <t>信用卡業務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</si>
  <si>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033-000</t>
    </r>
    <r>
      <rPr>
        <sz val="12"/>
        <rFont val="細明體"/>
        <family val="3"/>
        <charset val="136"/>
      </rPr>
      <t>）</t>
    </r>
  </si>
  <si>
    <r>
      <t xml:space="preserve">          </t>
    </r>
    <r>
      <rPr>
        <sz val="11"/>
        <rFont val="標楷體"/>
        <family val="4"/>
        <charset val="136"/>
      </rPr>
      <t>（不含</t>
    </r>
    <r>
      <rPr>
        <sz val="11"/>
        <rFont val="Times New Roman"/>
        <family val="1"/>
      </rPr>
      <t>4516-033-081</t>
    </r>
    <r>
      <rPr>
        <sz val="11"/>
        <rFont val="標楷體"/>
        <family val="4"/>
        <charset val="136"/>
      </rPr>
      <t>、</t>
    </r>
    <r>
      <rPr>
        <sz val="11"/>
        <rFont val="Times New Roman"/>
        <family val="1"/>
      </rPr>
      <t>4516-033-082</t>
    </r>
    <r>
      <rPr>
        <sz val="11"/>
        <rFont val="標楷體"/>
        <family val="4"/>
        <charset val="136"/>
      </rPr>
      <t>）</t>
    </r>
    <phoneticPr fontId="19" type="noConversion"/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</si>
  <si>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060-000</t>
    </r>
    <r>
      <rPr>
        <sz val="12"/>
        <rFont val="細明體"/>
        <family val="3"/>
        <charset val="136"/>
      </rPr>
      <t>）</t>
    </r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</si>
  <si>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061-000</t>
    </r>
    <r>
      <rPr>
        <sz val="12"/>
        <rFont val="細明體"/>
        <family val="3"/>
        <charset val="136"/>
      </rPr>
      <t>）</t>
    </r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</si>
  <si>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084-001</t>
    </r>
    <r>
      <rPr>
        <sz val="12"/>
        <rFont val="細明體"/>
        <family val="3"/>
        <charset val="136"/>
      </rPr>
      <t>）</t>
    </r>
  </si>
  <si>
    <r>
      <t xml:space="preserve">       c.</t>
    </r>
    <r>
      <rPr>
        <sz val="12"/>
        <rFont val="標楷體"/>
        <family val="4"/>
        <charset val="136"/>
      </rPr>
      <t>信卡違約金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</si>
  <si>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d.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提前還款違約</t>
    </r>
    <phoneticPr fontId="19" type="noConversion"/>
  </si>
  <si>
    <r>
      <t xml:space="preserve">       b.</t>
    </r>
    <r>
      <rPr>
        <sz val="12"/>
        <rFont val="標楷體"/>
        <family val="4"/>
        <charset val="136"/>
      </rPr>
      <t>信用卡收單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</si>
  <si>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t>999</t>
    <phoneticPr fontId="19" type="noConversion"/>
  </si>
  <si>
    <t>4929-099-099(HN)</t>
    <phoneticPr fontId="19" type="noConversion"/>
  </si>
  <si>
    <t>42066-61-02</t>
    <phoneticPr fontId="19" type="noConversion"/>
  </si>
  <si>
    <t>42064-62-01</t>
    <phoneticPr fontId="19" type="noConversion"/>
  </si>
  <si>
    <t>42064-62-02</t>
    <phoneticPr fontId="19" type="noConversion"/>
  </si>
  <si>
    <t>42061-61-01</t>
    <phoneticPr fontId="19" type="noConversion"/>
  </si>
  <si>
    <t>42064-62-03</t>
    <phoneticPr fontId="19" type="noConversion"/>
  </si>
  <si>
    <t>42065-61-01</t>
    <phoneticPr fontId="19" type="noConversion"/>
  </si>
  <si>
    <t>42061-61-02</t>
    <phoneticPr fontId="19" type="noConversion"/>
  </si>
  <si>
    <t>42066-61-01</t>
    <phoneticPr fontId="19" type="noConversion"/>
  </si>
  <si>
    <t>42061-61-03</t>
    <phoneticPr fontId="19" type="noConversion"/>
  </si>
  <si>
    <t>42061-61-04</t>
    <phoneticPr fontId="19" type="noConversion"/>
  </si>
  <si>
    <t>42061-61-05</t>
    <phoneticPr fontId="19" type="noConversion"/>
  </si>
  <si>
    <t>42061-61-06</t>
    <phoneticPr fontId="19" type="noConversion"/>
  </si>
  <si>
    <t>48099-99-08</t>
    <phoneticPr fontId="19" type="noConversion"/>
  </si>
  <si>
    <t>42061-61-07</t>
    <phoneticPr fontId="19" type="noConversion"/>
  </si>
  <si>
    <t>42061-61-08</t>
    <phoneticPr fontId="19" type="noConversion"/>
  </si>
  <si>
    <t>42070-61-01</t>
    <phoneticPr fontId="19" type="noConversion"/>
  </si>
  <si>
    <t>42061-99-99</t>
    <phoneticPr fontId="19" type="noConversion"/>
  </si>
  <si>
    <t>42064-62-99</t>
    <phoneticPr fontId="19" type="noConversion"/>
  </si>
  <si>
    <t>42061-61-12</t>
    <phoneticPr fontId="19" type="noConversion"/>
  </si>
  <si>
    <t>42061-61-13</t>
    <phoneticPr fontId="19" type="noConversion"/>
  </si>
  <si>
    <t>48099-99-99</t>
    <phoneticPr fontId="19" type="noConversion"/>
  </si>
  <si>
    <t>01279</t>
    <phoneticPr fontId="19" type="noConversion"/>
  </si>
  <si>
    <t>01277</t>
    <phoneticPr fontId="19" type="noConversion"/>
  </si>
  <si>
    <t>4929-099-097(HL)</t>
    <phoneticPr fontId="19" type="noConversion"/>
  </si>
  <si>
    <t>48099-99-98</t>
    <phoneticPr fontId="19" type="noConversion"/>
  </si>
  <si>
    <t>01275</t>
    <phoneticPr fontId="19" type="noConversion"/>
  </si>
  <si>
    <t>4929-099-097(H3)</t>
    <phoneticPr fontId="19" type="noConversion"/>
  </si>
  <si>
    <t>01668</t>
    <phoneticPr fontId="53" type="noConversion"/>
  </si>
  <si>
    <t>4516-033-071(HL)</t>
    <phoneticPr fontId="19" type="noConversion"/>
  </si>
  <si>
    <t>系統計算</t>
    <phoneticPr fontId="19" type="noConversion"/>
  </si>
  <si>
    <t>(-)銷貨退回</t>
    <phoneticPr fontId="19" type="noConversion"/>
  </si>
  <si>
    <t>(-)紅利折讓</t>
    <phoneticPr fontId="19" type="noConversion"/>
  </si>
  <si>
    <t>10月帳列</t>
    <phoneticPr fontId="19" type="noConversion"/>
  </si>
  <si>
    <t>11月帳列</t>
    <phoneticPr fontId="19" type="noConversion"/>
  </si>
  <si>
    <t>11月增加數</t>
    <phoneticPr fontId="19" type="noConversion"/>
  </si>
  <si>
    <t>01279</t>
    <phoneticPr fontId="19" type="noConversion"/>
  </si>
  <si>
    <r>
      <t>108</t>
    </r>
    <r>
      <rPr>
        <b/>
        <sz val="16"/>
        <rFont val="標楷體"/>
        <family val="4"/>
        <charset val="136"/>
      </rPr>
      <t>　年　</t>
    </r>
    <r>
      <rPr>
        <b/>
        <sz val="16"/>
        <rFont val="Times New Roman"/>
        <family val="1"/>
      </rPr>
      <t xml:space="preserve">11  </t>
    </r>
    <r>
      <rPr>
        <b/>
        <sz val="16"/>
        <rFont val="標楷體"/>
        <family val="4"/>
        <charset val="136"/>
      </rPr>
      <t>月</t>
    </r>
    <phoneticPr fontId="19" type="noConversion"/>
  </si>
  <si>
    <t>二月小計</t>
    <phoneticPr fontId="19" type="noConversion"/>
  </si>
  <si>
    <t>四月小計</t>
    <phoneticPr fontId="19" type="noConversion"/>
  </si>
  <si>
    <t>六月小計</t>
    <phoneticPr fontId="19" type="noConversion"/>
  </si>
  <si>
    <t>八月小計</t>
    <phoneticPr fontId="19" type="noConversion"/>
  </si>
  <si>
    <t>十月小計</t>
    <phoneticPr fontId="19" type="noConversion"/>
  </si>
  <si>
    <t>十二月小計</t>
    <phoneticPr fontId="19" type="noConversion"/>
  </si>
  <si>
    <t>不可扣抵比例</t>
    <phoneticPr fontId="19" type="noConversion"/>
  </si>
  <si>
    <t>月份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</si>
</sst>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76" formatCode="#,##0.00_ "/>
    <numFmt numFmtId="177" formatCode="#,##0_ "/>
    <numFmt numFmtId="178" formatCode="#,##0_ ;[Red]\-#,##0\ "/>
    <numFmt numFmtId="179" formatCode="#,##0_);[Red]\(#,##0\)"/>
    <numFmt numFmtId="180" formatCode="&quot;$&quot;#,##0"/>
    <numFmt numFmtId="181" formatCode="&quot;$&quot;#,##0_);[Red]\(&quot;$&quot;#,##0\)"/>
    <numFmt numFmtId="182" formatCode="0.0%"/>
    <numFmt numFmtId="183" formatCode="_-* #,##0_-;\-* #,##0_-;_-* &quot;-&quot;??_-;_-@_-"/>
    <numFmt numFmtId="184" formatCode="0.00_);[Red]\(0.00\)"/>
    <numFmt numFmtId="185" formatCode="0_);[Red]\(0\)"/>
    <numFmt numFmtId="186" formatCode="#,##0.00_);[Red]\(#,##0.00\)"/>
  </numFmts>
  <fonts count="6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新細明體"/>
      <family val="1"/>
      <charset val="136"/>
    </font>
    <font>
      <b/>
      <sz val="14"/>
      <name val="新細明體"/>
      <family val="1"/>
      <charset val="136"/>
    </font>
    <font>
      <b/>
      <sz val="12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4"/>
      <name val="微軟正黑體"/>
      <family val="2"/>
      <charset val="136"/>
    </font>
    <font>
      <sz val="14"/>
      <color indexed="56"/>
      <name val="微軟正黑體"/>
      <family val="2"/>
      <charset val="136"/>
    </font>
    <font>
      <sz val="12"/>
      <name val="Palatino Linotype"/>
      <family val="1"/>
    </font>
    <font>
      <sz val="12"/>
      <name val="華康竹風體W4"/>
      <family val="1"/>
      <charset val="136"/>
    </font>
    <font>
      <sz val="12"/>
      <name val="Times New Roman"/>
      <family val="1"/>
    </font>
    <font>
      <sz val="12"/>
      <name val="細明體"/>
      <family val="3"/>
      <charset val="136"/>
    </font>
    <font>
      <sz val="12"/>
      <color indexed="30"/>
      <name val="微軟正黑體"/>
      <family val="2"/>
      <charset val="136"/>
    </font>
    <font>
      <b/>
      <sz val="18"/>
      <name val="標楷體"/>
      <family val="4"/>
      <charset val="136"/>
    </font>
    <font>
      <b/>
      <sz val="18"/>
      <name val="Times New Roman"/>
      <family val="1"/>
    </font>
    <font>
      <b/>
      <sz val="16"/>
      <name val="標楷體"/>
      <family val="4"/>
      <charset val="136"/>
    </font>
    <font>
      <b/>
      <sz val="16"/>
      <name val="Times New Roman"/>
      <family val="1"/>
    </font>
    <font>
      <b/>
      <sz val="14"/>
      <name val="標楷體"/>
      <family val="4"/>
      <charset val="136"/>
    </font>
    <font>
      <b/>
      <sz val="14"/>
      <name val="Times New Roman"/>
      <family val="1"/>
    </font>
    <font>
      <b/>
      <sz val="12"/>
      <name val="Times New Roman"/>
      <family val="1"/>
    </font>
    <font>
      <b/>
      <sz val="12"/>
      <name val="標楷體"/>
      <family val="4"/>
      <charset val="136"/>
    </font>
    <font>
      <sz val="12"/>
      <name val="標楷體"/>
      <family val="4"/>
      <charset val="136"/>
    </font>
    <font>
      <sz val="14"/>
      <name val="標楷體"/>
      <family val="4"/>
      <charset val="136"/>
    </font>
    <font>
      <b/>
      <sz val="12"/>
      <color indexed="10"/>
      <name val="標楷體"/>
      <family val="4"/>
      <charset val="136"/>
    </font>
    <font>
      <b/>
      <sz val="12"/>
      <color indexed="10"/>
      <name val="微軟正黑體"/>
      <family val="2"/>
      <charset val="136"/>
    </font>
    <font>
      <sz val="12"/>
      <color indexed="10"/>
      <name val="標楷體"/>
      <family val="4"/>
      <charset val="136"/>
    </font>
    <font>
      <sz val="11"/>
      <name val="標楷體"/>
      <family val="4"/>
      <charset val="136"/>
    </font>
    <font>
      <sz val="11"/>
      <name val="Times New Roman"/>
      <family val="1"/>
    </font>
    <font>
      <b/>
      <sz val="8"/>
      <color indexed="81"/>
      <name val="新細明體"/>
      <family val="1"/>
      <charset val="136"/>
    </font>
    <font>
      <sz val="8"/>
      <color indexed="81"/>
      <name val="新細明體"/>
      <family val="1"/>
      <charset val="136"/>
    </font>
    <font>
      <sz val="12"/>
      <color indexed="17"/>
      <name val="細明體"/>
      <family val="3"/>
      <charset val="136"/>
    </font>
    <font>
      <b/>
      <sz val="12"/>
      <name val="細明體"/>
      <family val="3"/>
      <charset val="136"/>
    </font>
    <font>
      <sz val="9"/>
      <name val="新細明體"/>
      <family val="1"/>
      <charset val="136"/>
    </font>
    <font>
      <sz val="14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2"/>
      <color rgb="FF00B050"/>
      <name val="Times New Roman"/>
      <family val="1"/>
    </font>
    <font>
      <sz val="16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</font>
    <font>
      <sz val="12"/>
      <color theme="0"/>
      <name val="Times New Roman"/>
      <family val="1"/>
    </font>
    <font>
      <b/>
      <sz val="14"/>
      <color rgb="FFFF000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b/>
      <sz val="14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7" borderId="2" applyNumberFormat="0" applyAlignment="0" applyProtection="0">
      <alignment vertical="center"/>
    </xf>
    <xf numFmtId="0" fontId="15" fillId="17" borderId="8" applyNumberFormat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238">
    <xf numFmtId="0" fontId="0" fillId="0" borderId="0" xfId="0">
      <alignment vertical="center"/>
    </xf>
    <xf numFmtId="0" fontId="20" fillId="0" borderId="10" xfId="20" applyFont="1" applyBorder="1" applyAlignment="1">
      <alignment horizontal="center" vertical="center"/>
    </xf>
    <xf numFmtId="177" fontId="20" fillId="0" borderId="0" xfId="20" applyNumberFormat="1" applyFont="1" applyBorder="1" applyAlignment="1">
      <alignment horizontal="center" vertical="center"/>
    </xf>
    <xf numFmtId="0" fontId="20" fillId="0" borderId="0" xfId="20" applyFont="1" applyAlignment="1">
      <alignment horizontal="center" vertical="center"/>
    </xf>
    <xf numFmtId="0" fontId="20" fillId="0" borderId="0" xfId="20" applyFont="1" applyFill="1" applyAlignment="1">
      <alignment horizontal="center" vertical="center"/>
    </xf>
    <xf numFmtId="0" fontId="20" fillId="0" borderId="0" xfId="20" applyFont="1" applyFill="1" applyBorder="1" applyAlignment="1">
      <alignment horizontal="center" vertical="center"/>
    </xf>
    <xf numFmtId="0" fontId="20" fillId="0" borderId="0" xfId="20" applyFont="1" applyBorder="1" applyAlignment="1">
      <alignment horizontal="center" vertical="center"/>
    </xf>
    <xf numFmtId="49" fontId="20" fillId="0" borderId="0" xfId="20" applyNumberFormat="1" applyFont="1" applyAlignment="1">
      <alignment horizontal="center" vertical="center"/>
    </xf>
    <xf numFmtId="0" fontId="27" fillId="0" borderId="0" xfId="21" applyFont="1" applyAlignment="1">
      <alignment horizontal="center" vertical="center" wrapText="1"/>
    </xf>
    <xf numFmtId="0" fontId="27" fillId="0" borderId="11" xfId="21" applyFont="1" applyBorder="1" applyAlignment="1">
      <alignment horizontal="center" vertical="center" wrapText="1"/>
    </xf>
    <xf numFmtId="177" fontId="28" fillId="25" borderId="11" xfId="21" applyNumberFormat="1" applyFont="1" applyFill="1" applyBorder="1" applyAlignment="1">
      <alignment horizontal="center" vertical="center" wrapText="1"/>
    </xf>
    <xf numFmtId="177" fontId="27" fillId="0" borderId="0" xfId="21" applyNumberFormat="1" applyFont="1" applyAlignment="1">
      <alignment vertical="center" wrapText="1"/>
    </xf>
    <xf numFmtId="177" fontId="27" fillId="27" borderId="0" xfId="21" applyNumberFormat="1" applyFont="1" applyFill="1" applyAlignment="1">
      <alignment vertical="center" wrapText="1"/>
    </xf>
    <xf numFmtId="0" fontId="29" fillId="28" borderId="13" xfId="20" applyFont="1" applyFill="1" applyBorder="1" applyAlignment="1">
      <alignment horizontal="center"/>
    </xf>
    <xf numFmtId="177" fontId="30" fillId="29" borderId="13" xfId="20" applyNumberFormat="1" applyFont="1" applyFill="1" applyBorder="1" applyAlignment="1">
      <alignment horizontal="center"/>
    </xf>
    <xf numFmtId="0" fontId="29" fillId="0" borderId="0" xfId="20" applyFont="1" applyAlignment="1">
      <alignment horizontal="center"/>
    </xf>
    <xf numFmtId="0" fontId="30" fillId="28" borderId="14" xfId="20" applyFont="1" applyFill="1" applyBorder="1"/>
    <xf numFmtId="177" fontId="31" fillId="0" borderId="10" xfId="20" applyNumberFormat="1" applyFont="1" applyBorder="1" applyAlignment="1"/>
    <xf numFmtId="177" fontId="29" fillId="0" borderId="0" xfId="20" applyNumberFormat="1" applyFont="1"/>
    <xf numFmtId="0" fontId="29" fillId="0" borderId="0" xfId="20" applyFont="1"/>
    <xf numFmtId="177" fontId="29" fillId="0" borderId="0" xfId="20" applyNumberFormat="1" applyFont="1" applyAlignment="1">
      <alignment horizontal="left"/>
    </xf>
    <xf numFmtId="0" fontId="32" fillId="0" borderId="0" xfId="20" applyFont="1"/>
    <xf numFmtId="0" fontId="30" fillId="28" borderId="15" xfId="20" applyFont="1" applyFill="1" applyBorder="1"/>
    <xf numFmtId="177" fontId="29" fillId="0" borderId="15" xfId="20" applyNumberFormat="1" applyFont="1" applyBorder="1"/>
    <xf numFmtId="0" fontId="30" fillId="28" borderId="16" xfId="20" applyFont="1" applyFill="1" applyBorder="1"/>
    <xf numFmtId="177" fontId="29" fillId="0" borderId="16" xfId="20" applyNumberFormat="1" applyFont="1" applyBorder="1"/>
    <xf numFmtId="0" fontId="30" fillId="28" borderId="17" xfId="20" applyFont="1" applyFill="1" applyBorder="1"/>
    <xf numFmtId="177" fontId="29" fillId="0" borderId="17" xfId="20" applyNumberFormat="1" applyFont="1" applyBorder="1"/>
    <xf numFmtId="0" fontId="31" fillId="28" borderId="14" xfId="20" applyFont="1" applyFill="1" applyBorder="1"/>
    <xf numFmtId="177" fontId="29" fillId="0" borderId="14" xfId="20" applyNumberFormat="1" applyFont="1" applyBorder="1"/>
    <xf numFmtId="0" fontId="31" fillId="28" borderId="10" xfId="20" applyFont="1" applyFill="1" applyBorder="1"/>
    <xf numFmtId="177" fontId="29" fillId="0" borderId="10" xfId="20" applyNumberFormat="1" applyFont="1" applyBorder="1"/>
    <xf numFmtId="0" fontId="30" fillId="28" borderId="18" xfId="20" applyFont="1" applyFill="1" applyBorder="1"/>
    <xf numFmtId="177" fontId="29" fillId="0" borderId="18" xfId="20" applyNumberFormat="1" applyFont="1" applyBorder="1"/>
    <xf numFmtId="0" fontId="30" fillId="28" borderId="10" xfId="20" applyFont="1" applyFill="1" applyBorder="1"/>
    <xf numFmtId="177" fontId="29" fillId="0" borderId="19" xfId="20" applyNumberFormat="1" applyFont="1" applyBorder="1"/>
    <xf numFmtId="0" fontId="29" fillId="0" borderId="0" xfId="20" applyFont="1" applyAlignment="1">
      <alignment horizontal="left"/>
    </xf>
    <xf numFmtId="0" fontId="33" fillId="0" borderId="20" xfId="20" applyFont="1" applyBorder="1" applyAlignment="1">
      <alignment horizontal="left"/>
    </xf>
    <xf numFmtId="0" fontId="33" fillId="0" borderId="0" xfId="20" applyFont="1" applyAlignment="1">
      <alignment horizontal="left"/>
    </xf>
    <xf numFmtId="0" fontId="31" fillId="0" borderId="0" xfId="19" applyFont="1" applyAlignment="1">
      <alignment horizontal="center" vertical="center"/>
    </xf>
    <xf numFmtId="0" fontId="31" fillId="0" borderId="0" xfId="19" applyFont="1" applyAlignment="1">
      <alignment vertical="center"/>
    </xf>
    <xf numFmtId="0" fontId="39" fillId="30" borderId="0" xfId="19" applyFont="1" applyFill="1" applyAlignment="1">
      <alignment vertical="center"/>
    </xf>
    <xf numFmtId="0" fontId="40" fillId="0" borderId="0" xfId="19" applyFont="1" applyAlignment="1">
      <alignment horizontal="left" vertical="center"/>
    </xf>
    <xf numFmtId="0" fontId="31" fillId="0" borderId="0" xfId="19" applyFont="1" applyAlignment="1">
      <alignment horizontal="left" vertical="center"/>
    </xf>
    <xf numFmtId="9" fontId="40" fillId="0" borderId="0" xfId="19" applyNumberFormat="1" applyFont="1" applyAlignment="1">
      <alignment horizontal="centerContinuous" vertical="center"/>
    </xf>
    <xf numFmtId="0" fontId="40" fillId="0" borderId="0" xfId="19" applyFont="1" applyAlignment="1">
      <alignment horizontal="right" vertical="center"/>
    </xf>
    <xf numFmtId="177" fontId="41" fillId="0" borderId="0" xfId="19" applyNumberFormat="1" applyFont="1" applyBorder="1" applyAlignment="1">
      <alignment vertical="center"/>
    </xf>
    <xf numFmtId="0" fontId="42" fillId="26" borderId="0" xfId="19" applyFont="1" applyFill="1" applyAlignment="1">
      <alignment horizontal="center" vertical="center"/>
    </xf>
    <xf numFmtId="177" fontId="31" fillId="0" borderId="0" xfId="19" applyNumberFormat="1" applyFont="1" applyBorder="1" applyAlignment="1">
      <alignment horizontal="center" vertical="center"/>
    </xf>
    <xf numFmtId="0" fontId="40" fillId="0" borderId="0" xfId="19" applyFont="1" applyBorder="1" applyAlignment="1">
      <alignment vertical="center"/>
    </xf>
    <xf numFmtId="179" fontId="40" fillId="0" borderId="0" xfId="19" applyNumberFormat="1" applyFont="1" applyBorder="1" applyAlignment="1">
      <alignment horizontal="center" vertical="center"/>
    </xf>
    <xf numFmtId="0" fontId="41" fillId="0" borderId="0" xfId="19" applyFont="1" applyAlignment="1">
      <alignment vertical="center"/>
    </xf>
    <xf numFmtId="3" fontId="40" fillId="0" borderId="0" xfId="19" applyNumberFormat="1" applyFont="1" applyBorder="1" applyAlignment="1">
      <alignment vertical="center"/>
    </xf>
    <xf numFmtId="0" fontId="40" fillId="0" borderId="0" xfId="19" applyFont="1" applyAlignment="1">
      <alignment horizontal="center" vertical="center"/>
    </xf>
    <xf numFmtId="0" fontId="31" fillId="31" borderId="0" xfId="19" applyFont="1" applyFill="1" applyAlignment="1">
      <alignment horizontal="center" vertical="center"/>
    </xf>
    <xf numFmtId="177" fontId="40" fillId="0" borderId="0" xfId="19" applyNumberFormat="1" applyFont="1" applyBorder="1" applyAlignment="1">
      <alignment horizontal="center" vertical="center"/>
    </xf>
    <xf numFmtId="9" fontId="40" fillId="0" borderId="0" xfId="19" applyNumberFormat="1" applyFont="1" applyAlignment="1">
      <alignment horizontal="center" vertical="center"/>
    </xf>
    <xf numFmtId="179" fontId="40" fillId="26" borderId="0" xfId="19" applyNumberFormat="1" applyFont="1" applyFill="1" applyBorder="1" applyAlignment="1">
      <alignment horizontal="center" vertical="center"/>
    </xf>
    <xf numFmtId="0" fontId="31" fillId="26" borderId="0" xfId="19" applyFont="1" applyFill="1" applyAlignment="1">
      <alignment horizontal="center" vertical="center"/>
    </xf>
    <xf numFmtId="0" fontId="44" fillId="0" borderId="0" xfId="19" applyFont="1" applyAlignment="1">
      <alignment horizontal="right" vertical="center"/>
    </xf>
    <xf numFmtId="182" fontId="40" fillId="0" borderId="0" xfId="19" quotePrefix="1" applyNumberFormat="1" applyFont="1" applyAlignment="1">
      <alignment horizontal="centerContinuous" vertical="center"/>
    </xf>
    <xf numFmtId="0" fontId="45" fillId="0" borderId="0" xfId="19" applyFont="1" applyAlignment="1">
      <alignment vertical="center"/>
    </xf>
    <xf numFmtId="0" fontId="42" fillId="0" borderId="0" xfId="19" applyFont="1" applyAlignment="1">
      <alignment vertical="center"/>
    </xf>
    <xf numFmtId="177" fontId="31" fillId="0" borderId="0" xfId="22" applyNumberFormat="1" applyFont="1" applyAlignment="1">
      <alignment horizontal="right" vertical="center"/>
    </xf>
    <xf numFmtId="0" fontId="42" fillId="0" borderId="0" xfId="19" applyFont="1" applyAlignment="1">
      <alignment horizontal="left" vertical="center"/>
    </xf>
    <xf numFmtId="0" fontId="40" fillId="0" borderId="0" xfId="19" applyFont="1" applyAlignment="1">
      <alignment vertical="center"/>
    </xf>
    <xf numFmtId="10" fontId="40" fillId="0" borderId="0" xfId="19" quotePrefix="1" applyNumberFormat="1" applyFont="1" applyAlignment="1">
      <alignment horizontal="centerContinuous" vertical="center"/>
    </xf>
    <xf numFmtId="179" fontId="31" fillId="0" borderId="0" xfId="19" applyNumberFormat="1" applyFont="1" applyBorder="1" applyAlignment="1">
      <alignment horizontal="center" vertical="center"/>
    </xf>
    <xf numFmtId="177" fontId="31" fillId="0" borderId="0" xfId="19" applyNumberFormat="1" applyFont="1" applyAlignment="1">
      <alignment vertical="center"/>
    </xf>
    <xf numFmtId="176" fontId="40" fillId="0" borderId="0" xfId="19" applyNumberFormat="1" applyFont="1" applyBorder="1" applyAlignment="1">
      <alignment horizontal="center" vertical="center"/>
    </xf>
    <xf numFmtId="180" fontId="40" fillId="0" borderId="0" xfId="19" applyNumberFormat="1" applyFont="1" applyBorder="1" applyAlignment="1">
      <alignment horizontal="center" vertical="center"/>
    </xf>
    <xf numFmtId="181" fontId="40" fillId="0" borderId="0" xfId="19" applyNumberFormat="1" applyFont="1" applyBorder="1" applyAlignment="1">
      <alignment horizontal="center" vertical="center"/>
    </xf>
    <xf numFmtId="0" fontId="41" fillId="0" borderId="0" xfId="19" applyFont="1" applyAlignment="1">
      <alignment horizontal="left" vertical="center"/>
    </xf>
    <xf numFmtId="0" fontId="41" fillId="0" borderId="0" xfId="19" applyFont="1" applyAlignment="1">
      <alignment horizontal="right" vertical="center"/>
    </xf>
    <xf numFmtId="177" fontId="31" fillId="36" borderId="0" xfId="19" applyNumberFormat="1" applyFont="1" applyFill="1" applyAlignment="1">
      <alignment vertical="center"/>
    </xf>
    <xf numFmtId="0" fontId="56" fillId="0" borderId="0" xfId="19" applyFont="1" applyAlignment="1">
      <alignment vertical="center"/>
    </xf>
    <xf numFmtId="176" fontId="31" fillId="36" borderId="0" xfId="19" applyNumberFormat="1" applyFont="1" applyFill="1" applyAlignment="1">
      <alignment vertical="center"/>
    </xf>
    <xf numFmtId="177" fontId="20" fillId="37" borderId="10" xfId="20" applyNumberFormat="1" applyFont="1" applyFill="1" applyBorder="1" applyAlignment="1">
      <alignment horizontal="right" vertical="center"/>
    </xf>
    <xf numFmtId="176" fontId="20" fillId="37" borderId="10" xfId="20" applyNumberFormat="1" applyFont="1" applyFill="1" applyBorder="1" applyAlignment="1">
      <alignment horizontal="right" vertical="center"/>
    </xf>
    <xf numFmtId="177" fontId="40" fillId="37" borderId="0" xfId="19" applyNumberFormat="1" applyFont="1" applyFill="1" applyBorder="1" applyAlignment="1">
      <alignment horizontal="center" vertical="center"/>
    </xf>
    <xf numFmtId="177" fontId="31" fillId="37" borderId="0" xfId="19" applyNumberFormat="1" applyFont="1" applyFill="1" applyBorder="1" applyAlignment="1">
      <alignment horizontal="center" vertical="center"/>
    </xf>
    <xf numFmtId="9" fontId="40" fillId="37" borderId="0" xfId="19" applyNumberFormat="1" applyFont="1" applyFill="1" applyAlignment="1">
      <alignment horizontal="centerContinuous" vertical="center"/>
    </xf>
    <xf numFmtId="179" fontId="40" fillId="37" borderId="0" xfId="19" applyNumberFormat="1" applyFont="1" applyFill="1" applyBorder="1" applyAlignment="1">
      <alignment horizontal="center" vertical="center"/>
    </xf>
    <xf numFmtId="0" fontId="31" fillId="37" borderId="0" xfId="19" applyFont="1" applyFill="1" applyAlignment="1">
      <alignment horizontal="center" vertical="center"/>
    </xf>
    <xf numFmtId="0" fontId="32" fillId="37" borderId="0" xfId="19" applyFont="1" applyFill="1" applyAlignment="1">
      <alignment horizontal="center" vertical="center"/>
    </xf>
    <xf numFmtId="0" fontId="20" fillId="0" borderId="0" xfId="20" applyFont="1" applyAlignment="1">
      <alignment horizontal="left" vertical="center"/>
    </xf>
    <xf numFmtId="0" fontId="41" fillId="0" borderId="0" xfId="19" applyFont="1" applyAlignment="1">
      <alignment horizontal="center" vertical="center"/>
    </xf>
    <xf numFmtId="0" fontId="37" fillId="0" borderId="0" xfId="19" applyFont="1" applyAlignment="1">
      <alignment horizontal="center" vertical="center"/>
    </xf>
    <xf numFmtId="0" fontId="52" fillId="0" borderId="0" xfId="19" applyFont="1" applyAlignment="1">
      <alignment horizontal="right" vertical="center"/>
    </xf>
    <xf numFmtId="0" fontId="37" fillId="0" borderId="0" xfId="19" applyFont="1" applyFill="1" applyAlignment="1">
      <alignment horizontal="center" vertical="center"/>
    </xf>
    <xf numFmtId="0" fontId="42" fillId="0" borderId="0" xfId="19" applyFont="1" applyFill="1" applyAlignment="1">
      <alignment horizontal="left" vertical="center"/>
    </xf>
    <xf numFmtId="0" fontId="32" fillId="0" borderId="0" xfId="19" applyFont="1" applyAlignment="1">
      <alignment horizontal="left" vertical="center"/>
    </xf>
    <xf numFmtId="49" fontId="20" fillId="37" borderId="10" xfId="20" quotePrefix="1" applyNumberFormat="1" applyFont="1" applyFill="1" applyBorder="1" applyAlignment="1">
      <alignment horizontal="center" vertical="center"/>
    </xf>
    <xf numFmtId="0" fontId="57" fillId="0" borderId="10" xfId="0" applyFont="1" applyFill="1" applyBorder="1" applyAlignment="1">
      <alignment horizontal="center" vertical="center"/>
    </xf>
    <xf numFmtId="0" fontId="57" fillId="0" borderId="10" xfId="0" applyFont="1" applyFill="1" applyBorder="1">
      <alignment vertical="center"/>
    </xf>
    <xf numFmtId="49" fontId="20" fillId="37" borderId="10" xfId="20" applyNumberFormat="1" applyFont="1" applyFill="1" applyBorder="1" applyAlignment="1">
      <alignment horizontal="center" vertical="center"/>
    </xf>
    <xf numFmtId="179" fontId="20" fillId="37" borderId="10" xfId="20" applyNumberFormat="1" applyFont="1" applyFill="1" applyBorder="1" applyAlignment="1">
      <alignment horizontal="right" vertical="center"/>
    </xf>
    <xf numFmtId="0" fontId="21" fillId="37" borderId="10" xfId="20" applyFont="1" applyFill="1" applyBorder="1" applyAlignment="1">
      <alignment horizontal="center" vertical="center"/>
    </xf>
    <xf numFmtId="178" fontId="20" fillId="37" borderId="10" xfId="20" applyNumberFormat="1" applyFont="1" applyFill="1" applyBorder="1" applyAlignment="1">
      <alignment horizontal="right" vertical="center"/>
    </xf>
    <xf numFmtId="0" fontId="20" fillId="37" borderId="10" xfId="20" applyFont="1" applyFill="1" applyBorder="1" applyAlignment="1">
      <alignment horizontal="center" vertical="center" shrinkToFit="1"/>
    </xf>
    <xf numFmtId="176" fontId="20" fillId="37" borderId="10" xfId="20" applyNumberFormat="1" applyFont="1" applyFill="1" applyBorder="1" applyAlignment="1">
      <alignment horizontal="center" vertical="center"/>
    </xf>
    <xf numFmtId="176" fontId="20" fillId="37" borderId="10" xfId="20" applyNumberFormat="1" applyFont="1" applyFill="1" applyBorder="1" applyAlignment="1">
      <alignment vertical="center"/>
    </xf>
    <xf numFmtId="43" fontId="20" fillId="37" borderId="10" xfId="22" applyFont="1" applyFill="1" applyBorder="1" applyAlignment="1">
      <alignment vertical="center"/>
    </xf>
    <xf numFmtId="176" fontId="27" fillId="0" borderId="0" xfId="21" applyNumberFormat="1" applyFont="1" applyAlignment="1">
      <alignment vertical="center" wrapText="1"/>
    </xf>
    <xf numFmtId="43" fontId="27" fillId="0" borderId="0" xfId="22" applyFont="1" applyAlignment="1">
      <alignment vertical="center" wrapText="1"/>
    </xf>
    <xf numFmtId="176" fontId="58" fillId="37" borderId="10" xfId="20" applyNumberFormat="1" applyFont="1" applyFill="1" applyBorder="1" applyAlignment="1">
      <alignment horizontal="right" vertical="center"/>
    </xf>
    <xf numFmtId="0" fontId="31" fillId="0" borderId="0" xfId="19" applyFont="1" applyBorder="1" applyAlignment="1">
      <alignment horizontal="center" vertical="center"/>
    </xf>
    <xf numFmtId="177" fontId="31" fillId="0" borderId="0" xfId="22" applyNumberFormat="1" applyFont="1" applyBorder="1" applyAlignment="1">
      <alignment horizontal="right" vertical="center"/>
    </xf>
    <xf numFmtId="183" fontId="59" fillId="37" borderId="0" xfId="22" applyNumberFormat="1" applyFont="1" applyFill="1" applyBorder="1" applyAlignment="1">
      <alignment vertical="center"/>
    </xf>
    <xf numFmtId="185" fontId="31" fillId="0" borderId="0" xfId="22" applyNumberFormat="1" applyFont="1" applyAlignment="1">
      <alignment horizontal="right" vertical="center"/>
    </xf>
    <xf numFmtId="177" fontId="40" fillId="0" borderId="0" xfId="19" applyNumberFormat="1" applyFont="1" applyBorder="1" applyAlignment="1">
      <alignment horizontal="right" vertical="center"/>
    </xf>
    <xf numFmtId="0" fontId="21" fillId="37" borderId="10" xfId="20" applyFont="1" applyFill="1" applyBorder="1" applyAlignment="1">
      <alignment horizontal="center" vertical="center" wrapText="1"/>
    </xf>
    <xf numFmtId="49" fontId="60" fillId="37" borderId="10" xfId="20" applyNumberFormat="1" applyFont="1" applyFill="1" applyBorder="1" applyAlignment="1">
      <alignment horizontal="center" vertical="center"/>
    </xf>
    <xf numFmtId="179" fontId="58" fillId="37" borderId="10" xfId="20" applyNumberFormat="1" applyFont="1" applyFill="1" applyBorder="1" applyAlignment="1">
      <alignment horizontal="right"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0" fontId="54" fillId="0" borderId="0" xfId="20" applyFont="1" applyAlignment="1">
      <alignment horizontal="left" vertical="center"/>
    </xf>
    <xf numFmtId="49" fontId="61" fillId="37" borderId="10" xfId="20" applyNumberFormat="1" applyFont="1" applyFill="1" applyBorder="1" applyAlignment="1">
      <alignment horizontal="center" vertical="center" wrapText="1"/>
    </xf>
    <xf numFmtId="0" fontId="60" fillId="37" borderId="10" xfId="20" applyFont="1" applyFill="1" applyBorder="1" applyAlignment="1">
      <alignment horizontal="center" vertical="center" shrinkToFit="1"/>
    </xf>
    <xf numFmtId="43" fontId="20" fillId="37" borderId="10" xfId="20" applyNumberFormat="1" applyFont="1" applyFill="1" applyBorder="1" applyAlignment="1">
      <alignment horizontal="right" vertical="center"/>
    </xf>
    <xf numFmtId="43" fontId="20" fillId="37" borderId="10" xfId="22" applyNumberFormat="1" applyFont="1" applyFill="1" applyBorder="1" applyAlignment="1">
      <alignment horizontal="right" vertical="center"/>
    </xf>
    <xf numFmtId="43" fontId="20" fillId="37" borderId="10" xfId="20" applyNumberFormat="1" applyFont="1" applyFill="1" applyBorder="1" applyAlignment="1">
      <alignment horizontal="center" vertical="center"/>
    </xf>
    <xf numFmtId="43" fontId="58" fillId="37" borderId="10" xfId="20" applyNumberFormat="1" applyFont="1" applyFill="1" applyBorder="1" applyAlignment="1">
      <alignment horizontal="right" vertical="center"/>
    </xf>
    <xf numFmtId="43" fontId="20" fillId="37" borderId="10" xfId="22" applyNumberFormat="1" applyFont="1" applyFill="1" applyBorder="1" applyAlignment="1">
      <alignment vertical="center"/>
    </xf>
    <xf numFmtId="177" fontId="31" fillId="37" borderId="10" xfId="20" applyNumberFormat="1" applyFont="1" applyFill="1" applyBorder="1" applyAlignment="1"/>
    <xf numFmtId="176" fontId="29" fillId="0" borderId="14" xfId="20" applyNumberFormat="1" applyFont="1" applyBorder="1"/>
    <xf numFmtId="176" fontId="29" fillId="0" borderId="10" xfId="20" applyNumberFormat="1" applyFont="1" applyBorder="1"/>
    <xf numFmtId="0" fontId="62" fillId="0" borderId="10" xfId="20" applyFont="1" applyBorder="1" applyAlignment="1">
      <alignment horizontal="center" vertical="center"/>
    </xf>
    <xf numFmtId="0" fontId="62" fillId="0" borderId="10" xfId="20" applyFont="1" applyFill="1" applyBorder="1" applyAlignment="1">
      <alignment horizontal="center" vertical="center"/>
    </xf>
    <xf numFmtId="179" fontId="62" fillId="0" borderId="10" xfId="20" applyNumberFormat="1" applyFont="1" applyBorder="1" applyAlignment="1">
      <alignment horizontal="center" vertical="center"/>
    </xf>
    <xf numFmtId="49" fontId="63" fillId="0" borderId="10" xfId="0" applyNumberFormat="1" applyFont="1" applyFill="1" applyBorder="1" applyAlignment="1">
      <alignment horizontal="center" vertical="center"/>
    </xf>
    <xf numFmtId="0" fontId="64" fillId="0" borderId="10" xfId="0" applyFont="1" applyFill="1" applyBorder="1" applyAlignment="1">
      <alignment horizontal="center" vertical="center"/>
    </xf>
    <xf numFmtId="0" fontId="63" fillId="0" borderId="10" xfId="20" quotePrefix="1" applyFont="1" applyBorder="1" applyAlignment="1">
      <alignment horizontal="center" vertical="center"/>
    </xf>
    <xf numFmtId="43" fontId="29" fillId="0" borderId="14" xfId="22" applyFont="1" applyBorder="1" applyAlignment="1"/>
    <xf numFmtId="0" fontId="58" fillId="37" borderId="10" xfId="20" applyFont="1" applyFill="1" applyBorder="1" applyAlignment="1">
      <alignment horizontal="center" vertical="center"/>
    </xf>
    <xf numFmtId="49" fontId="58" fillId="37" borderId="10" xfId="20" applyNumberFormat="1" applyFont="1" applyFill="1" applyBorder="1" applyAlignment="1">
      <alignment horizontal="center" vertical="center"/>
    </xf>
    <xf numFmtId="49" fontId="64" fillId="0" borderId="10" xfId="0" applyNumberFormat="1" applyFont="1" applyFill="1" applyBorder="1" applyAlignment="1">
      <alignment horizontal="center" vertical="center"/>
    </xf>
    <xf numFmtId="0" fontId="58" fillId="0" borderId="0" xfId="20" applyFont="1" applyAlignment="1">
      <alignment horizontal="center" vertical="center"/>
    </xf>
    <xf numFmtId="0" fontId="20" fillId="0" borderId="10" xfId="20" quotePrefix="1" applyFont="1" applyBorder="1" applyAlignment="1">
      <alignment horizontal="center" vertical="center"/>
    </xf>
    <xf numFmtId="186" fontId="20" fillId="37" borderId="10" xfId="20" applyNumberFormat="1" applyFont="1" applyFill="1" applyBorder="1" applyAlignment="1">
      <alignment horizontal="right" vertical="center"/>
    </xf>
    <xf numFmtId="176" fontId="29" fillId="0" borderId="17" xfId="20" applyNumberFormat="1" applyFont="1" applyBorder="1"/>
    <xf numFmtId="176" fontId="31" fillId="0" borderId="10" xfId="20" applyNumberFormat="1" applyFont="1" applyBorder="1" applyAlignment="1"/>
    <xf numFmtId="176" fontId="31" fillId="0" borderId="18" xfId="20" applyNumberFormat="1" applyFont="1" applyBorder="1" applyAlignment="1"/>
    <xf numFmtId="176" fontId="29" fillId="0" borderId="15" xfId="20" applyNumberFormat="1" applyFont="1" applyBorder="1"/>
    <xf numFmtId="176" fontId="29" fillId="0" borderId="16" xfId="20" applyNumberFormat="1" applyFont="1" applyBorder="1"/>
    <xf numFmtId="183" fontId="20" fillId="37" borderId="10" xfId="22" applyNumberFormat="1" applyFont="1" applyFill="1" applyBorder="1" applyAlignment="1">
      <alignment horizontal="right" vertical="center"/>
    </xf>
    <xf numFmtId="177" fontId="58" fillId="0" borderId="10" xfId="20" applyNumberFormat="1" applyFont="1" applyBorder="1" applyAlignment="1">
      <alignment horizontal="center" vertical="center"/>
    </xf>
    <xf numFmtId="177" fontId="58" fillId="37" borderId="10" xfId="20" applyNumberFormat="1" applyFont="1" applyFill="1" applyBorder="1" applyAlignment="1">
      <alignment horizontal="center" vertical="center"/>
    </xf>
    <xf numFmtId="177" fontId="58" fillId="0" borderId="10" xfId="20" applyNumberFormat="1" applyFont="1" applyFill="1" applyBorder="1" applyAlignment="1">
      <alignment horizontal="center" vertical="center"/>
    </xf>
    <xf numFmtId="183" fontId="58" fillId="37" borderId="10" xfId="22" applyNumberFormat="1" applyFont="1" applyFill="1" applyBorder="1" applyAlignment="1">
      <alignment horizontal="right" vertical="center"/>
    </xf>
    <xf numFmtId="43" fontId="20" fillId="38" borderId="10" xfId="22" applyNumberFormat="1" applyFont="1" applyFill="1" applyBorder="1" applyAlignment="1">
      <alignment horizontal="right" vertical="center"/>
    </xf>
    <xf numFmtId="176" fontId="58" fillId="38" borderId="10" xfId="20" applyNumberFormat="1" applyFont="1" applyFill="1" applyBorder="1" applyAlignment="1">
      <alignment horizontal="center" vertical="center"/>
    </xf>
    <xf numFmtId="183" fontId="20" fillId="38" borderId="10" xfId="22" applyNumberFormat="1" applyFont="1" applyFill="1" applyBorder="1" applyAlignment="1">
      <alignment horizontal="right" vertical="center"/>
    </xf>
    <xf numFmtId="177" fontId="20" fillId="0" borderId="10" xfId="20" applyNumberFormat="1" applyFont="1" applyBorder="1" applyAlignment="1">
      <alignment horizontal="center" vertical="center"/>
    </xf>
    <xf numFmtId="177" fontId="20" fillId="37" borderId="10" xfId="20" applyNumberFormat="1" applyFont="1" applyFill="1" applyBorder="1" applyAlignment="1">
      <alignment horizontal="center" vertical="center"/>
    </xf>
    <xf numFmtId="177" fontId="20" fillId="0" borderId="10" xfId="20" applyNumberFormat="1" applyFont="1" applyFill="1" applyBorder="1" applyAlignment="1">
      <alignment horizontal="center" vertical="center"/>
    </xf>
    <xf numFmtId="176" fontId="20" fillId="32" borderId="10" xfId="20" applyNumberFormat="1" applyFont="1" applyFill="1" applyBorder="1" applyAlignment="1">
      <alignment horizontal="center" vertical="center"/>
    </xf>
    <xf numFmtId="177" fontId="20" fillId="32" borderId="10" xfId="20" applyNumberFormat="1" applyFont="1" applyFill="1" applyBorder="1" applyAlignment="1">
      <alignment horizontal="center" vertical="center"/>
    </xf>
    <xf numFmtId="177" fontId="20" fillId="28" borderId="10" xfId="20" applyNumberFormat="1" applyFont="1" applyFill="1" applyBorder="1" applyAlignment="1">
      <alignment horizontal="center" vertical="center"/>
    </xf>
    <xf numFmtId="177" fontId="20" fillId="39" borderId="10" xfId="20" applyNumberFormat="1" applyFont="1" applyFill="1" applyBorder="1" applyAlignment="1">
      <alignment horizontal="center" vertical="center"/>
    </xf>
    <xf numFmtId="183" fontId="60" fillId="37" borderId="10" xfId="22" applyNumberFormat="1" applyFont="1" applyFill="1" applyBorder="1" applyAlignment="1">
      <alignment horizontal="right" vertical="center"/>
    </xf>
    <xf numFmtId="177" fontId="60" fillId="0" borderId="10" xfId="20" applyNumberFormat="1" applyFont="1" applyBorder="1" applyAlignment="1">
      <alignment horizontal="center" vertical="center"/>
    </xf>
    <xf numFmtId="183" fontId="20" fillId="37" borderId="10" xfId="22" applyNumberFormat="1" applyFont="1" applyFill="1" applyBorder="1" applyAlignment="1">
      <alignment horizontal="center" vertical="center"/>
    </xf>
    <xf numFmtId="176" fontId="20" fillId="33" borderId="10" xfId="20" applyNumberFormat="1" applyFont="1" applyFill="1" applyBorder="1" applyAlignment="1">
      <alignment horizontal="center" vertical="center"/>
    </xf>
    <xf numFmtId="183" fontId="58" fillId="38" borderId="10" xfId="22" applyNumberFormat="1" applyFont="1" applyFill="1" applyBorder="1" applyAlignment="1">
      <alignment horizontal="right" vertical="center"/>
    </xf>
    <xf numFmtId="177" fontId="58" fillId="38" borderId="10" xfId="20" applyNumberFormat="1" applyFont="1" applyFill="1" applyBorder="1" applyAlignment="1">
      <alignment horizontal="center" vertical="center"/>
    </xf>
    <xf numFmtId="177" fontId="20" fillId="34" borderId="10" xfId="20" applyNumberFormat="1" applyFont="1" applyFill="1" applyBorder="1" applyAlignment="1">
      <alignment horizontal="center" vertical="center"/>
    </xf>
    <xf numFmtId="177" fontId="20" fillId="38" borderId="10" xfId="20" applyNumberFormat="1" applyFont="1" applyFill="1" applyBorder="1" applyAlignment="1">
      <alignment horizontal="center" vertical="center"/>
    </xf>
    <xf numFmtId="0" fontId="20" fillId="37" borderId="10" xfId="20" applyFont="1" applyFill="1" applyBorder="1" applyAlignment="1">
      <alignment horizontal="center" vertical="center"/>
    </xf>
    <xf numFmtId="49" fontId="63" fillId="38" borderId="10" xfId="0" quotePrefix="1" applyNumberFormat="1" applyFont="1" applyFill="1" applyBorder="1" applyAlignment="1">
      <alignment horizontal="center" vertical="center"/>
    </xf>
    <xf numFmtId="0" fontId="64" fillId="38" borderId="10" xfId="0" applyFont="1" applyFill="1" applyBorder="1" applyAlignment="1">
      <alignment horizontal="center" vertical="center"/>
    </xf>
    <xf numFmtId="183" fontId="20" fillId="0" borderId="10" xfId="22" applyNumberFormat="1" applyFont="1" applyBorder="1" applyAlignment="1">
      <alignment horizontal="center" vertical="center"/>
    </xf>
    <xf numFmtId="0" fontId="63" fillId="38" borderId="10" xfId="20" quotePrefix="1" applyFont="1" applyFill="1" applyBorder="1" applyAlignment="1">
      <alignment horizontal="center" vertical="center"/>
    </xf>
    <xf numFmtId="49" fontId="63" fillId="38" borderId="10" xfId="0" applyNumberFormat="1" applyFont="1" applyFill="1" applyBorder="1" applyAlignment="1">
      <alignment horizontal="center" vertical="center"/>
    </xf>
    <xf numFmtId="0" fontId="30" fillId="28" borderId="19" xfId="20" applyFont="1" applyFill="1" applyBorder="1"/>
    <xf numFmtId="0" fontId="0" fillId="0" borderId="0" xfId="0" applyBorder="1">
      <alignment vertical="center"/>
    </xf>
    <xf numFmtId="177" fontId="27" fillId="40" borderId="0" xfId="21" applyNumberFormat="1" applyFont="1" applyFill="1" applyBorder="1" applyAlignment="1">
      <alignment horizontal="center" vertical="center" wrapText="1"/>
    </xf>
    <xf numFmtId="0" fontId="27" fillId="40" borderId="0" xfId="21" applyFont="1" applyFill="1" applyBorder="1" applyAlignment="1">
      <alignment horizontal="center" vertical="center" wrapText="1"/>
    </xf>
    <xf numFmtId="43" fontId="27" fillId="40" borderId="0" xfId="22" applyFont="1" applyFill="1" applyBorder="1" applyAlignment="1">
      <alignment horizontal="center" vertical="center" wrapText="1"/>
    </xf>
    <xf numFmtId="0" fontId="0" fillId="40" borderId="0" xfId="0" applyFill="1" applyBorder="1">
      <alignment vertical="center"/>
    </xf>
    <xf numFmtId="184" fontId="0" fillId="41" borderId="0" xfId="0" applyNumberFormat="1" applyFill="1" applyBorder="1">
      <alignment vertical="center"/>
    </xf>
    <xf numFmtId="185" fontId="0" fillId="41" borderId="0" xfId="0" applyNumberFormat="1" applyFill="1" applyBorder="1">
      <alignment vertical="center"/>
    </xf>
    <xf numFmtId="10" fontId="0" fillId="41" borderId="0" xfId="0" applyNumberFormat="1" applyFill="1" applyBorder="1">
      <alignment vertical="center"/>
    </xf>
    <xf numFmtId="177" fontId="27" fillId="24" borderId="11" xfId="21" applyNumberFormat="1" applyFont="1" applyFill="1" applyBorder="1" applyAlignment="1">
      <alignment horizontal="center" vertical="center" wrapText="1"/>
    </xf>
    <xf numFmtId="177" fontId="27" fillId="37" borderId="11" xfId="21" applyNumberFormat="1" applyFont="1" applyFill="1" applyBorder="1" applyAlignment="1">
      <alignment horizontal="center" vertical="center" wrapText="1"/>
    </xf>
    <xf numFmtId="0" fontId="32" fillId="38" borderId="0" xfId="19" applyFont="1" applyFill="1" applyAlignment="1">
      <alignment horizontal="left" vertical="center"/>
    </xf>
    <xf numFmtId="0" fontId="32" fillId="38" borderId="0" xfId="19" applyFont="1" applyFill="1" applyAlignment="1">
      <alignment horizontal="center" vertical="center"/>
    </xf>
    <xf numFmtId="177" fontId="40" fillId="37" borderId="0" xfId="19" applyNumberFormat="1" applyFont="1" applyFill="1" applyBorder="1" applyAlignment="1">
      <alignment horizontal="center" vertical="center"/>
    </xf>
    <xf numFmtId="179" fontId="40" fillId="35" borderId="23" xfId="19" applyNumberFormat="1" applyFont="1" applyFill="1" applyBorder="1" applyAlignment="1">
      <alignment horizontal="center" vertical="center"/>
    </xf>
    <xf numFmtId="0" fontId="31" fillId="0" borderId="0" xfId="19" applyFont="1" applyAlignment="1">
      <alignment horizontal="left" vertical="center"/>
    </xf>
    <xf numFmtId="176" fontId="31" fillId="34" borderId="22" xfId="19" applyNumberFormat="1" applyFont="1" applyFill="1" applyBorder="1" applyAlignment="1">
      <alignment horizontal="center" vertical="center"/>
    </xf>
    <xf numFmtId="179" fontId="31" fillId="0" borderId="0" xfId="19" applyNumberFormat="1" applyFont="1" applyBorder="1" applyAlignment="1">
      <alignment horizontal="center" vertical="center"/>
    </xf>
    <xf numFmtId="0" fontId="48" fillId="0" borderId="0" xfId="19" applyFont="1" applyAlignment="1">
      <alignment horizontal="left" vertical="center"/>
    </xf>
    <xf numFmtId="176" fontId="31" fillId="0" borderId="24" xfId="19" applyNumberFormat="1" applyFont="1" applyBorder="1" applyAlignment="1">
      <alignment horizontal="center" vertical="center"/>
    </xf>
    <xf numFmtId="177" fontId="31" fillId="34" borderId="22" xfId="19" applyNumberFormat="1" applyFont="1" applyFill="1" applyBorder="1" applyAlignment="1">
      <alignment horizontal="center" vertical="center"/>
    </xf>
    <xf numFmtId="179" fontId="31" fillId="0" borderId="22" xfId="19" applyNumberFormat="1" applyFont="1" applyBorder="1" applyAlignment="1">
      <alignment horizontal="center" vertical="center"/>
    </xf>
    <xf numFmtId="177" fontId="31" fillId="0" borderId="22" xfId="19" applyNumberFormat="1" applyFont="1" applyBorder="1" applyAlignment="1">
      <alignment horizontal="center" vertical="center"/>
    </xf>
    <xf numFmtId="177" fontId="31" fillId="24" borderId="21" xfId="19" applyNumberFormat="1" applyFont="1" applyFill="1" applyBorder="1" applyAlignment="1">
      <alignment horizontal="center" vertical="center"/>
    </xf>
    <xf numFmtId="0" fontId="31" fillId="0" borderId="0" xfId="19" applyFont="1" applyAlignment="1">
      <alignment horizontal="center" vertical="center"/>
    </xf>
    <xf numFmtId="177" fontId="31" fillId="0" borderId="0" xfId="19" applyNumberFormat="1" applyFont="1" applyAlignment="1">
      <alignment horizontal="center" vertical="center"/>
    </xf>
    <xf numFmtId="177" fontId="31" fillId="0" borderId="21" xfId="19" applyNumberFormat="1" applyFont="1" applyBorder="1" applyAlignment="1">
      <alignment horizontal="center" vertical="center"/>
    </xf>
    <xf numFmtId="0" fontId="40" fillId="0" borderId="0" xfId="19" applyFont="1" applyAlignment="1">
      <alignment horizontal="left" vertical="center"/>
    </xf>
    <xf numFmtId="179" fontId="40" fillId="0" borderId="23" xfId="19" applyNumberFormat="1" applyFont="1" applyBorder="1" applyAlignment="1">
      <alignment horizontal="center" vertical="center"/>
    </xf>
    <xf numFmtId="177" fontId="41" fillId="42" borderId="12" xfId="19" applyNumberFormat="1" applyFont="1" applyFill="1" applyBorder="1" applyAlignment="1">
      <alignment horizontal="center" vertical="center"/>
    </xf>
    <xf numFmtId="0" fontId="38" fillId="30" borderId="0" xfId="19" applyFont="1" applyFill="1" applyAlignment="1">
      <alignment horizontal="left" vertical="center"/>
    </xf>
    <xf numFmtId="0" fontId="39" fillId="30" borderId="0" xfId="19" applyFont="1" applyFill="1" applyAlignment="1">
      <alignment horizontal="left" vertical="center"/>
    </xf>
    <xf numFmtId="183" fontId="31" fillId="24" borderId="0" xfId="22" applyNumberFormat="1" applyFont="1" applyFill="1" applyBorder="1" applyAlignment="1">
      <alignment horizontal="center" vertical="center"/>
    </xf>
    <xf numFmtId="0" fontId="40" fillId="0" borderId="0" xfId="19" applyFont="1" applyAlignment="1">
      <alignment horizontal="center" vertical="center"/>
    </xf>
    <xf numFmtId="179" fontId="40" fillId="31" borderId="23" xfId="19" applyNumberFormat="1" applyFont="1" applyFill="1" applyBorder="1" applyAlignment="1">
      <alignment horizontal="center" vertical="center"/>
    </xf>
    <xf numFmtId="183" fontId="31" fillId="24" borderId="0" xfId="22" applyNumberFormat="1" applyFont="1" applyFill="1" applyAlignment="1">
      <alignment horizontal="center" vertical="center"/>
    </xf>
    <xf numFmtId="179" fontId="40" fillId="0" borderId="12" xfId="19" applyNumberFormat="1" applyFont="1" applyBorder="1" applyAlignment="1">
      <alignment horizontal="center" vertical="center"/>
    </xf>
    <xf numFmtId="0" fontId="40" fillId="0" borderId="12" xfId="19" applyFont="1" applyBorder="1" applyAlignment="1">
      <alignment horizontal="center" vertical="center"/>
    </xf>
    <xf numFmtId="183" fontId="31" fillId="37" borderId="0" xfId="22" applyNumberFormat="1" applyFont="1" applyFill="1" applyAlignment="1">
      <alignment horizontal="center" vertical="center"/>
    </xf>
    <xf numFmtId="9" fontId="45" fillId="0" borderId="0" xfId="19" applyNumberFormat="1" applyFont="1" applyAlignment="1">
      <alignment horizontal="left" vertical="center"/>
    </xf>
    <xf numFmtId="0" fontId="41" fillId="0" borderId="0" xfId="19" applyFont="1" applyAlignment="1">
      <alignment horizontal="center" vertical="center"/>
    </xf>
    <xf numFmtId="0" fontId="44" fillId="0" borderId="0" xfId="19" applyFont="1" applyAlignment="1">
      <alignment horizontal="right" vertical="center"/>
    </xf>
    <xf numFmtId="177" fontId="40" fillId="0" borderId="12" xfId="19" applyNumberFormat="1" applyFont="1" applyBorder="1" applyAlignment="1">
      <alignment horizontal="center" vertical="center"/>
    </xf>
    <xf numFmtId="177" fontId="31" fillId="0" borderId="0" xfId="19" applyNumberFormat="1" applyFont="1" applyBorder="1" applyAlignment="1">
      <alignment horizontal="center" vertical="center"/>
    </xf>
    <xf numFmtId="179" fontId="40" fillId="0" borderId="0" xfId="19" applyNumberFormat="1" applyFont="1" applyBorder="1" applyAlignment="1">
      <alignment horizontal="center" vertical="center"/>
    </xf>
    <xf numFmtId="177" fontId="40" fillId="24" borderId="22" xfId="19" applyNumberFormat="1" applyFont="1" applyFill="1" applyBorder="1" applyAlignment="1">
      <alignment horizontal="center" vertical="center"/>
    </xf>
    <xf numFmtId="177" fontId="31" fillId="24" borderId="22" xfId="19" applyNumberFormat="1" applyFont="1" applyFill="1" applyBorder="1" applyAlignment="1">
      <alignment horizontal="center" vertical="center"/>
    </xf>
    <xf numFmtId="0" fontId="40" fillId="0" borderId="0" xfId="19" applyFont="1" applyAlignment="1">
      <alignment horizontal="right" vertical="center"/>
    </xf>
    <xf numFmtId="177" fontId="31" fillId="42" borderId="12" xfId="19" applyNumberFormat="1" applyFont="1" applyFill="1" applyBorder="1" applyAlignment="1">
      <alignment horizontal="center" vertical="center"/>
    </xf>
    <xf numFmtId="0" fontId="31" fillId="42" borderId="12" xfId="19" applyFont="1" applyFill="1" applyBorder="1" applyAlignment="1">
      <alignment horizontal="center" vertical="center"/>
    </xf>
    <xf numFmtId="177" fontId="65" fillId="24" borderId="22" xfId="19" applyNumberFormat="1" applyFont="1" applyFill="1" applyBorder="1" applyAlignment="1">
      <alignment horizontal="center" vertical="center"/>
    </xf>
    <xf numFmtId="0" fontId="31" fillId="0" borderId="0" xfId="19" applyFont="1" applyBorder="1" applyAlignment="1">
      <alignment horizontal="center" vertical="center"/>
    </xf>
    <xf numFmtId="177" fontId="65" fillId="24" borderId="21" xfId="19" applyNumberFormat="1" applyFont="1" applyFill="1" applyBorder="1" applyAlignment="1">
      <alignment horizontal="center" vertical="center"/>
    </xf>
    <xf numFmtId="0" fontId="34" fillId="0" borderId="0" xfId="19" applyFont="1" applyAlignment="1">
      <alignment horizontal="center" vertical="center"/>
    </xf>
    <xf numFmtId="0" fontId="35" fillId="0" borderId="0" xfId="19" applyFont="1" applyAlignment="1">
      <alignment horizontal="center" vertical="center"/>
    </xf>
    <xf numFmtId="0" fontId="37" fillId="0" borderId="0" xfId="19" applyFont="1" applyAlignment="1">
      <alignment horizontal="center" vertical="center"/>
    </xf>
    <xf numFmtId="176" fontId="40" fillId="42" borderId="12" xfId="19" applyNumberFormat="1" applyFont="1" applyFill="1" applyBorder="1" applyAlignment="1">
      <alignment horizontal="center" vertical="center"/>
    </xf>
    <xf numFmtId="179" fontId="40" fillId="37" borderId="0" xfId="19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66" fillId="24" borderId="21" xfId="19" applyNumberFormat="1" applyFont="1" applyFill="1" applyBorder="1" applyAlignment="1">
      <alignment horizontal="center" vertical="center"/>
    </xf>
    <xf numFmtId="177" fontId="65" fillId="0" borderId="21" xfId="19" applyNumberFormat="1" applyFont="1" applyBorder="1" applyAlignment="1">
      <alignment horizontal="center" vertical="center"/>
    </xf>
    <xf numFmtId="179" fontId="40" fillId="0" borderId="22" xfId="19" applyNumberFormat="1" applyFont="1" applyBorder="1" applyAlignment="1">
      <alignment horizontal="center" vertical="center"/>
    </xf>
    <xf numFmtId="0" fontId="20" fillId="37" borderId="10" xfId="20" applyFont="1" applyFill="1" applyBorder="1" applyAlignment="1">
      <alignment horizontal="center" vertical="center"/>
    </xf>
    <xf numFmtId="0" fontId="1" fillId="37" borderId="10" xfId="20" applyFont="1" applyFill="1" applyBorder="1" applyAlignment="1">
      <alignment horizontal="center" vertical="center"/>
    </xf>
  </cellXfs>
  <cellStyles count="46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_105年營業稅、印花稅報繳計算表" xfId="19" xr:uid="{00000000-0005-0000-0000-000013000000}"/>
    <cellStyle name="一般_105銷項稅額" xfId="20" xr:uid="{00000000-0005-0000-0000-000014000000}"/>
    <cellStyle name="一般_計算不可扣抵比例" xfId="21" xr:uid="{00000000-0005-0000-0000-000015000000}"/>
    <cellStyle name="千分位" xfId="22" builtinId="3"/>
    <cellStyle name="中等" xfId="23" builtinId="28" customBuiltin="1"/>
    <cellStyle name="合計" xfId="24" builtinId="25" customBuiltin="1"/>
    <cellStyle name="好" xfId="25" builtinId="26" customBuiltin="1"/>
    <cellStyle name="計算方式" xfId="26" builtinId="22" customBuiltin="1"/>
    <cellStyle name="連結的儲存格" xfId="27" builtinId="24" customBuiltin="1"/>
    <cellStyle name="備註" xfId="28" builtinId="10" customBuiltin="1"/>
    <cellStyle name="說明文字" xfId="29" builtinId="53" customBuiltin="1"/>
    <cellStyle name="輔色1" xfId="30" builtinId="29" customBuiltin="1"/>
    <cellStyle name="輔色2" xfId="31" builtinId="33" customBuiltin="1"/>
    <cellStyle name="輔色3" xfId="32" builtinId="37" customBuiltin="1"/>
    <cellStyle name="輔色4" xfId="33" builtinId="41" customBuiltin="1"/>
    <cellStyle name="輔色5" xfId="34" builtinId="45" customBuiltin="1"/>
    <cellStyle name="輔色6" xfId="35" builtinId="49" customBuiltin="1"/>
    <cellStyle name="標題" xfId="36" builtinId="15" customBuiltin="1"/>
    <cellStyle name="標題 1" xfId="37" builtinId="16" customBuiltin="1"/>
    <cellStyle name="標題 2" xfId="38" builtinId="17" customBuiltin="1"/>
    <cellStyle name="標題 3" xfId="39" builtinId="18" customBuiltin="1"/>
    <cellStyle name="標題 4" xfId="40" builtinId="19" customBuiltin="1"/>
    <cellStyle name="輸入" xfId="41" builtinId="20" customBuiltin="1"/>
    <cellStyle name="輸出" xfId="42" builtinId="21" customBuiltin="1"/>
    <cellStyle name="檢查儲存格" xfId="43" builtinId="23" customBuiltin="1"/>
    <cellStyle name="壞" xfId="44" builtinId="27" customBuiltin="1"/>
    <cellStyle name="警告文字" xfId="4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M13"/>
  <sheetViews>
    <sheetView tabSelected="1" zoomScaleNormal="100" workbookViewId="0">
      <selection activeCell="E12" sqref="E12"/>
    </sheetView>
  </sheetViews>
  <sheetFormatPr defaultRowHeight="17"/>
  <cols>
    <col min="2" max="2" width="20.6328125" bestFit="1" customWidth="1"/>
    <col min="3" max="3" width="14.54296875" bestFit="1" customWidth="1"/>
    <col min="4" max="4" width="14.90625" bestFit="1" customWidth="1"/>
    <col min="5" max="5" width="16.36328125" bestFit="1" customWidth="1"/>
    <col min="7" max="7" width="11.6328125" bestFit="1" customWidth="1"/>
    <col min="8" max="9" width="14" bestFit="1" customWidth="1"/>
    <col min="10" max="10" width="12.90625" bestFit="1" customWidth="1"/>
    <col min="11" max="11" width="11.36328125" bestFit="1" customWidth="1"/>
    <col min="12" max="12" width="14.6328125" bestFit="1" customWidth="1"/>
    <col min="13" max="13" width="16.6328125" bestFit="1" customWidth="1"/>
  </cols>
  <sheetData>
    <row r="1" spans="1:13" ht="18.5" thickBot="1">
      <c r="A1" s="9" t="s">
        <v>237</v>
      </c>
      <c r="B1" s="10" t="s">
        <v>42</v>
      </c>
      <c r="C1" s="183" t="s">
        <v>43</v>
      </c>
      <c r="D1" s="184" t="s">
        <v>180</v>
      </c>
      <c r="E1" s="10" t="s">
        <v>44</v>
      </c>
      <c r="G1" s="175"/>
    </row>
    <row r="2" spans="1:13" ht="18.75" customHeight="1">
      <c r="A2" s="8" t="s">
        <v>46</v>
      </c>
      <c r="B2" s="103">
        <v>207329658.63</v>
      </c>
      <c r="C2" s="11">
        <v>0</v>
      </c>
      <c r="D2" s="11">
        <v>21717413</v>
      </c>
      <c r="E2" s="11">
        <v>66581148</v>
      </c>
      <c r="G2" s="175"/>
      <c r="H2" s="176" t="s">
        <v>42</v>
      </c>
      <c r="I2" s="176" t="s">
        <v>43</v>
      </c>
      <c r="J2" s="176" t="s">
        <v>180</v>
      </c>
      <c r="K2" s="177" t="s">
        <v>44</v>
      </c>
      <c r="L2" s="178" t="s">
        <v>45</v>
      </c>
      <c r="M2" s="177" t="s">
        <v>236</v>
      </c>
    </row>
    <row r="3" spans="1:13" ht="18">
      <c r="A3" s="8" t="s">
        <v>47</v>
      </c>
      <c r="B3" s="103">
        <v>99951804.480000004</v>
      </c>
      <c r="C3" s="11">
        <v>0</v>
      </c>
      <c r="D3" s="11">
        <v>18460048</v>
      </c>
      <c r="E3" s="12">
        <v>60737728</v>
      </c>
      <c r="G3" s="179" t="s">
        <v>230</v>
      </c>
      <c r="H3" s="180">
        <f>SUM(B2:B3)</f>
        <v>307281463.11000001</v>
      </c>
      <c r="I3" s="181">
        <f>SUM(C2:C3)</f>
        <v>0</v>
      </c>
      <c r="J3" s="181">
        <f>SUM(D2:D3)</f>
        <v>40177461</v>
      </c>
      <c r="K3" s="181">
        <f>SUM(E2:E3)</f>
        <v>127318876</v>
      </c>
      <c r="L3" s="180">
        <f>SUM(H3:K3)</f>
        <v>474777800.11000001</v>
      </c>
      <c r="M3" s="182">
        <f>(I3+K3)/L3</f>
        <v>0.26816518373542703</v>
      </c>
    </row>
    <row r="4" spans="1:13" ht="18">
      <c r="A4" s="8" t="s">
        <v>48</v>
      </c>
      <c r="B4" s="104">
        <v>183655484.52000001</v>
      </c>
      <c r="C4" s="11">
        <v>0</v>
      </c>
      <c r="D4" s="11">
        <v>20760948</v>
      </c>
      <c r="E4" s="11">
        <v>63360070</v>
      </c>
      <c r="G4" s="179"/>
      <c r="H4" s="180"/>
      <c r="I4" s="181"/>
      <c r="J4" s="181"/>
      <c r="K4" s="181"/>
      <c r="L4" s="181"/>
      <c r="M4" s="182"/>
    </row>
    <row r="5" spans="1:13" ht="18">
      <c r="A5" s="8" t="s">
        <v>49</v>
      </c>
      <c r="B5" s="104">
        <v>179897070.80000001</v>
      </c>
      <c r="C5" s="11">
        <v>0</v>
      </c>
      <c r="D5" s="11">
        <v>21363102</v>
      </c>
      <c r="E5" s="12">
        <v>61327385</v>
      </c>
      <c r="G5" s="179" t="s">
        <v>231</v>
      </c>
      <c r="H5" s="180">
        <f>SUM(B4:B5)</f>
        <v>363552555.32000005</v>
      </c>
      <c r="I5" s="181">
        <f>SUM(C4:C5)</f>
        <v>0</v>
      </c>
      <c r="J5" s="180">
        <f>SUM(D4:D5)</f>
        <v>42124050</v>
      </c>
      <c r="K5" s="181">
        <f>SUM(E4:E5)</f>
        <v>124687455</v>
      </c>
      <c r="L5" s="180">
        <f>SUM(H5:K5)</f>
        <v>530364060.32000005</v>
      </c>
      <c r="M5" s="182">
        <f t="shared" ref="M5:M13" si="0">(I5+K5)/L5</f>
        <v>0.23509785886466114</v>
      </c>
    </row>
    <row r="6" spans="1:13" ht="18">
      <c r="A6" s="8" t="s">
        <v>50</v>
      </c>
      <c r="B6" s="103">
        <v>179553642.43000001</v>
      </c>
      <c r="C6" s="11">
        <v>0</v>
      </c>
      <c r="D6" s="11">
        <v>24341340</v>
      </c>
      <c r="E6" s="11">
        <v>64728368</v>
      </c>
      <c r="G6" s="179"/>
      <c r="H6" s="180"/>
      <c r="I6" s="181"/>
      <c r="J6" s="181"/>
      <c r="K6" s="181"/>
      <c r="L6" s="180"/>
      <c r="M6" s="182"/>
    </row>
    <row r="7" spans="1:13" ht="18">
      <c r="A7" s="8" t="s">
        <v>51</v>
      </c>
      <c r="B7" s="103">
        <v>155189105.75999999</v>
      </c>
      <c r="C7" s="11">
        <v>0</v>
      </c>
      <c r="D7" s="11">
        <v>24614037</v>
      </c>
      <c r="E7" s="12">
        <v>64463803</v>
      </c>
      <c r="G7" s="179" t="s">
        <v>232</v>
      </c>
      <c r="H7" s="180">
        <f>SUM(B6:B7)</f>
        <v>334742748.19</v>
      </c>
      <c r="I7" s="181">
        <f>SUM(C6:C7)</f>
        <v>0</v>
      </c>
      <c r="J7" s="180">
        <f>SUM(D6:D7)</f>
        <v>48955377</v>
      </c>
      <c r="K7" s="181">
        <f>SUM(E6:E7)</f>
        <v>129192171</v>
      </c>
      <c r="L7" s="180">
        <f>SUM(H7:K7)</f>
        <v>512890296.19</v>
      </c>
      <c r="M7" s="182">
        <f t="shared" si="0"/>
        <v>0.25189045680860533</v>
      </c>
    </row>
    <row r="8" spans="1:13" ht="18">
      <c r="A8" s="8" t="s">
        <v>52</v>
      </c>
      <c r="B8" s="103">
        <v>128433357.68000001</v>
      </c>
      <c r="C8" s="11">
        <v>0</v>
      </c>
      <c r="D8" s="11">
        <v>30310592</v>
      </c>
      <c r="E8" s="11">
        <v>67836523</v>
      </c>
      <c r="G8" s="179"/>
      <c r="H8" s="180"/>
      <c r="I8" s="181"/>
      <c r="J8" s="181"/>
      <c r="K8" s="181"/>
      <c r="L8" s="180"/>
      <c r="M8" s="182"/>
    </row>
    <row r="9" spans="1:13" ht="18">
      <c r="A9" s="8" t="s">
        <v>53</v>
      </c>
      <c r="B9" s="103">
        <v>81982982.5</v>
      </c>
      <c r="C9" s="11">
        <v>0</v>
      </c>
      <c r="D9" s="11">
        <v>25867387</v>
      </c>
      <c r="E9" s="12">
        <v>69195275</v>
      </c>
      <c r="G9" s="179" t="s">
        <v>233</v>
      </c>
      <c r="H9" s="180">
        <f>SUM(B8:B9)</f>
        <v>210416340.18000001</v>
      </c>
      <c r="I9" s="181">
        <f>SUM(C8:C9)</f>
        <v>0</v>
      </c>
      <c r="J9" s="180">
        <f>SUM(D8:D9)</f>
        <v>56177979</v>
      </c>
      <c r="K9" s="181">
        <f>SUM(E8:E9)</f>
        <v>137031798</v>
      </c>
      <c r="L9" s="180">
        <f>SUM(H9:K9)</f>
        <v>403626117.18000001</v>
      </c>
      <c r="M9" s="182">
        <f t="shared" si="0"/>
        <v>0.3395018116206035</v>
      </c>
    </row>
    <row r="10" spans="1:13" ht="18">
      <c r="A10" s="8" t="s">
        <v>54</v>
      </c>
      <c r="B10" s="103">
        <v>106770228.72</v>
      </c>
      <c r="C10" s="11">
        <v>0</v>
      </c>
      <c r="D10" s="11">
        <v>25116943</v>
      </c>
      <c r="E10" s="11">
        <v>68127819</v>
      </c>
      <c r="G10" s="179"/>
      <c r="H10" s="180"/>
      <c r="I10" s="181"/>
      <c r="J10" s="181"/>
      <c r="K10" s="181"/>
      <c r="L10" s="180"/>
      <c r="M10" s="182"/>
    </row>
    <row r="11" spans="1:13" ht="18">
      <c r="A11" s="8" t="s">
        <v>55</v>
      </c>
      <c r="B11" s="103">
        <v>161915181.25</v>
      </c>
      <c r="C11" s="11">
        <v>0</v>
      </c>
      <c r="D11" s="11">
        <v>27404802</v>
      </c>
      <c r="E11" s="12">
        <v>70657486</v>
      </c>
      <c r="G11" s="179" t="s">
        <v>234</v>
      </c>
      <c r="H11" s="180">
        <f>SUM(B10:B11)</f>
        <v>268685409.97000003</v>
      </c>
      <c r="I11" s="181">
        <f>SUM(C10:C11)</f>
        <v>0</v>
      </c>
      <c r="J11" s="180">
        <f>SUM(D10:D11)</f>
        <v>52521745</v>
      </c>
      <c r="K11" s="181">
        <f>SUM(E10:E11)</f>
        <v>138785305</v>
      </c>
      <c r="L11" s="180">
        <f>SUM(H11:K11)</f>
        <v>459992459.97000003</v>
      </c>
      <c r="M11" s="182">
        <f t="shared" si="0"/>
        <v>0.30171213025763804</v>
      </c>
    </row>
    <row r="12" spans="1:13" ht="18">
      <c r="A12" s="8" t="s">
        <v>56</v>
      </c>
      <c r="B12" s="103">
        <v>173701675.09</v>
      </c>
      <c r="C12" s="11">
        <v>0</v>
      </c>
      <c r="D12" s="11">
        <v>21733099</v>
      </c>
      <c r="E12" s="11">
        <v>68584804</v>
      </c>
      <c r="G12" s="179"/>
      <c r="H12" s="180"/>
      <c r="I12" s="181"/>
      <c r="J12" s="181"/>
      <c r="K12" s="181"/>
      <c r="L12" s="180"/>
      <c r="M12" s="182"/>
    </row>
    <row r="13" spans="1:13" ht="18">
      <c r="A13" s="8" t="s">
        <v>57</v>
      </c>
      <c r="B13" s="104"/>
      <c r="C13" s="11">
        <v>0</v>
      </c>
      <c r="D13" s="11"/>
      <c r="E13" s="12"/>
      <c r="G13" s="179" t="s">
        <v>235</v>
      </c>
      <c r="H13" s="180">
        <f>SUM(B12:B13)</f>
        <v>173701675.09</v>
      </c>
      <c r="I13" s="181">
        <f>SUM(C12:C13)</f>
        <v>0</v>
      </c>
      <c r="J13" s="180">
        <f>SUM(D12:D13)</f>
        <v>21733099</v>
      </c>
      <c r="K13" s="181">
        <f>SUM(E12:E13)</f>
        <v>68584804</v>
      </c>
      <c r="L13" s="180">
        <f>SUM(H13:K13)</f>
        <v>264019578.09</v>
      </c>
      <c r="M13" s="182">
        <f t="shared" si="0"/>
        <v>0.25977165972373667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rgb="FFFFFF00"/>
    <pageSetUpPr fitToPage="1"/>
  </sheetPr>
  <dimension ref="A1:O55"/>
  <sheetViews>
    <sheetView topLeftCell="A4" zoomScaleNormal="100" workbookViewId="0">
      <selection activeCell="E10" sqref="E10"/>
    </sheetView>
  </sheetViews>
  <sheetFormatPr defaultColWidth="9" defaultRowHeight="15.5"/>
  <cols>
    <col min="1" max="1" width="5.7265625" style="40" customWidth="1"/>
    <col min="2" max="3" width="6.6328125" style="40" customWidth="1"/>
    <col min="4" max="4" width="17.36328125" style="40" customWidth="1"/>
    <col min="5" max="5" width="13.1796875" style="40" bestFit="1" customWidth="1"/>
    <col min="6" max="6" width="6.36328125" style="40" customWidth="1"/>
    <col min="7" max="7" width="10.26953125" style="40" customWidth="1"/>
    <col min="8" max="8" width="9" style="40"/>
    <col min="9" max="9" width="16" style="40" customWidth="1"/>
    <col min="10" max="10" width="7.90625" style="40" customWidth="1"/>
    <col min="11" max="11" width="11.90625" style="40" bestFit="1" customWidth="1"/>
    <col min="12" max="12" width="9.453125" style="40" bestFit="1" customWidth="1"/>
    <col min="13" max="13" width="9" style="40"/>
    <col min="14" max="14" width="18" style="40" customWidth="1"/>
    <col min="15" max="15" width="13.90625" style="40" customWidth="1"/>
    <col min="16" max="16384" width="9" style="40"/>
  </cols>
  <sheetData>
    <row r="1" spans="1:13" ht="34.5" customHeight="1">
      <c r="A1" s="227" t="s">
        <v>75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39"/>
    </row>
    <row r="2" spans="1:13" ht="24" customHeight="1">
      <c r="A2" s="229" t="s">
        <v>229</v>
      </c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39"/>
    </row>
    <row r="3" spans="1:13" ht="30" customHeight="1">
      <c r="A3" s="89"/>
      <c r="B3" s="89"/>
      <c r="C3" s="89"/>
      <c r="D3" s="87"/>
      <c r="E3" s="87"/>
      <c r="F3" s="87"/>
      <c r="G3" s="87"/>
      <c r="H3" s="87"/>
      <c r="I3" s="87"/>
      <c r="J3" s="87"/>
      <c r="K3" s="87"/>
      <c r="L3" s="39"/>
    </row>
    <row r="4" spans="1:13" ht="21" customHeight="1">
      <c r="A4" s="41" t="s">
        <v>76</v>
      </c>
      <c r="B4" s="205" t="s">
        <v>77</v>
      </c>
      <c r="C4" s="205"/>
      <c r="D4" s="205"/>
      <c r="E4" s="42"/>
      <c r="G4" s="225"/>
      <c r="H4" s="225"/>
      <c r="I4" s="39"/>
      <c r="J4" s="214" t="s">
        <v>73</v>
      </c>
      <c r="K4" s="214"/>
    </row>
    <row r="5" spans="1:13" ht="18" customHeight="1">
      <c r="B5" s="189" t="s">
        <v>78</v>
      </c>
      <c r="C5" s="189"/>
      <c r="D5" s="189"/>
      <c r="E5" s="43"/>
      <c r="G5" s="225" t="s">
        <v>79</v>
      </c>
      <c r="H5" s="225"/>
      <c r="I5" s="39" t="s">
        <v>80</v>
      </c>
      <c r="J5" s="198" t="s">
        <v>81</v>
      </c>
      <c r="K5" s="198"/>
      <c r="L5" s="43"/>
      <c r="M5" s="43"/>
    </row>
    <row r="6" spans="1:13" ht="18" customHeight="1">
      <c r="B6" s="43" t="s">
        <v>134</v>
      </c>
      <c r="C6" s="43"/>
      <c r="D6" s="43"/>
      <c r="E6" s="185" t="s">
        <v>133</v>
      </c>
      <c r="F6" s="43"/>
      <c r="G6" s="224"/>
      <c r="H6" s="224"/>
      <c r="I6" s="44">
        <v>0.05</v>
      </c>
      <c r="J6" s="199">
        <f>ROUND(G6*5%,0)</f>
        <v>0</v>
      </c>
      <c r="K6" s="199"/>
    </row>
    <row r="7" spans="1:13" ht="18" customHeight="1">
      <c r="B7" s="43" t="s">
        <v>135</v>
      </c>
      <c r="C7" s="43"/>
      <c r="D7" s="43"/>
      <c r="E7" s="186">
        <v>410616199</v>
      </c>
      <c r="F7" s="43"/>
      <c r="G7" s="224">
        <v>58310249</v>
      </c>
      <c r="H7" s="224"/>
      <c r="I7" s="44">
        <v>0.05</v>
      </c>
      <c r="J7" s="199">
        <f>ROUND(G7*5%,0)</f>
        <v>2915512</v>
      </c>
      <c r="K7" s="199"/>
    </row>
    <row r="8" spans="1:13" ht="18" customHeight="1">
      <c r="B8" s="43" t="s">
        <v>137</v>
      </c>
      <c r="C8" s="43"/>
      <c r="D8" s="43"/>
      <c r="E8" s="186">
        <v>410996105</v>
      </c>
      <c r="F8" s="43"/>
      <c r="G8" s="224">
        <v>9712422</v>
      </c>
      <c r="H8" s="224"/>
      <c r="I8" s="44">
        <v>0.05</v>
      </c>
      <c r="J8" s="199">
        <f>ROUND(G8*5%,0)</f>
        <v>485621</v>
      </c>
      <c r="K8" s="199"/>
    </row>
    <row r="9" spans="1:13" ht="18" customHeight="1">
      <c r="B9" s="43" t="s">
        <v>139</v>
      </c>
      <c r="C9" s="43"/>
      <c r="D9" s="43"/>
      <c r="E9" s="186">
        <v>410996103</v>
      </c>
      <c r="F9" s="43"/>
      <c r="G9" s="226">
        <v>395012</v>
      </c>
      <c r="H9" s="226"/>
      <c r="I9" s="44">
        <v>0.05</v>
      </c>
      <c r="J9" s="199">
        <f>ROUND(G9*5%,0)</f>
        <v>19751</v>
      </c>
      <c r="K9" s="199"/>
    </row>
    <row r="10" spans="1:13" ht="18" customHeight="1">
      <c r="B10" s="43" t="s">
        <v>141</v>
      </c>
      <c r="C10" s="43"/>
      <c r="D10" s="43"/>
      <c r="E10" s="185" t="s">
        <v>142</v>
      </c>
      <c r="F10" s="43"/>
      <c r="G10" s="226"/>
      <c r="H10" s="226"/>
      <c r="I10" s="44">
        <v>0.05</v>
      </c>
      <c r="J10" s="196">
        <f>ROUND(G10*5%,0)</f>
        <v>0</v>
      </c>
      <c r="K10" s="196"/>
    </row>
    <row r="11" spans="1:13" ht="18" customHeight="1" thickBot="1">
      <c r="B11" s="221"/>
      <c r="C11" s="221"/>
      <c r="D11" s="221"/>
      <c r="E11" s="43"/>
      <c r="F11" s="43"/>
      <c r="G11" s="222">
        <f>SUM(G6:H10)</f>
        <v>68417683</v>
      </c>
      <c r="H11" s="223"/>
      <c r="I11" s="46"/>
      <c r="J11" s="188">
        <f>SUM(J6:K10)</f>
        <v>3420884</v>
      </c>
      <c r="K11" s="188"/>
      <c r="L11" s="47" t="s">
        <v>222</v>
      </c>
    </row>
    <row r="12" spans="1:13" ht="18" customHeight="1" thickTop="1">
      <c r="B12" s="189" t="s">
        <v>83</v>
      </c>
      <c r="C12" s="189"/>
      <c r="D12" s="189"/>
      <c r="E12" s="43"/>
      <c r="G12" s="217"/>
      <c r="H12" s="217"/>
      <c r="I12" s="49"/>
      <c r="J12" s="218"/>
      <c r="K12" s="218"/>
      <c r="L12" s="43"/>
    </row>
    <row r="13" spans="1:13" ht="18" customHeight="1" thickBot="1">
      <c r="B13" s="51" t="s">
        <v>84</v>
      </c>
      <c r="D13" s="52"/>
      <c r="E13" s="53"/>
      <c r="F13" s="53"/>
      <c r="G13" s="219">
        <v>167121</v>
      </c>
      <c r="H13" s="220"/>
      <c r="I13" s="44">
        <v>0.05</v>
      </c>
      <c r="J13" s="208">
        <f>ROUND(G13*5%,0)</f>
        <v>8356</v>
      </c>
      <c r="K13" s="208"/>
      <c r="L13" s="54" t="s">
        <v>85</v>
      </c>
    </row>
    <row r="14" spans="1:13" ht="17.5" thickTop="1">
      <c r="B14" s="51"/>
      <c r="D14" s="52"/>
      <c r="E14" s="53"/>
      <c r="F14" s="53"/>
      <c r="G14" s="79"/>
      <c r="H14" s="80"/>
      <c r="I14" s="81"/>
      <c r="J14" s="82"/>
      <c r="K14" s="82"/>
      <c r="L14" s="83"/>
    </row>
    <row r="15" spans="1:13" ht="17.5" thickBot="1">
      <c r="B15" s="51" t="s">
        <v>104</v>
      </c>
      <c r="D15" s="52"/>
      <c r="E15" s="53"/>
      <c r="F15" s="53"/>
      <c r="G15" s="208"/>
      <c r="H15" s="208"/>
      <c r="I15" s="44">
        <v>0.05</v>
      </c>
      <c r="J15" s="208">
        <f>ROUND(G15*5%,0)</f>
        <v>0</v>
      </c>
      <c r="K15" s="208"/>
      <c r="L15" s="84" t="s">
        <v>105</v>
      </c>
    </row>
    <row r="16" spans="1:13" ht="17.5" thickTop="1">
      <c r="B16" s="51"/>
      <c r="D16" s="52"/>
      <c r="E16" s="53"/>
      <c r="F16" s="53"/>
      <c r="G16" s="79"/>
      <c r="H16" s="80"/>
      <c r="I16" s="81"/>
      <c r="J16" s="82"/>
      <c r="K16" s="82"/>
      <c r="L16" s="83"/>
    </row>
    <row r="17" spans="1:15" ht="17">
      <c r="B17" s="51"/>
      <c r="D17" s="52"/>
      <c r="E17" s="53"/>
      <c r="F17" s="53"/>
      <c r="G17" s="187"/>
      <c r="H17" s="187"/>
      <c r="I17" s="44"/>
      <c r="J17" s="231"/>
      <c r="K17" s="232"/>
      <c r="L17" s="83"/>
    </row>
    <row r="18" spans="1:15">
      <c r="D18" s="45"/>
      <c r="G18" s="55"/>
      <c r="H18" s="48"/>
      <c r="I18" s="56"/>
      <c r="J18" s="57"/>
      <c r="K18" s="57"/>
      <c r="L18" s="58"/>
    </row>
    <row r="19" spans="1:15" ht="18" customHeight="1" thickBot="1">
      <c r="D19" s="215" t="s">
        <v>86</v>
      </c>
      <c r="E19" s="215"/>
      <c r="F19" s="215"/>
      <c r="G19" s="216">
        <f>G11+G13+G15</f>
        <v>68584804</v>
      </c>
      <c r="H19" s="216"/>
      <c r="I19" s="59" t="s">
        <v>87</v>
      </c>
      <c r="J19" s="210">
        <f>J11+J13+J15</f>
        <v>3429240</v>
      </c>
      <c r="K19" s="211"/>
      <c r="L19" s="58"/>
      <c r="M19" s="213" t="s">
        <v>88</v>
      </c>
      <c r="N19" s="213"/>
      <c r="O19" s="213"/>
    </row>
    <row r="20" spans="1:15" ht="17.149999999999999" customHeight="1" thickTop="1">
      <c r="D20" s="45"/>
      <c r="G20" s="55"/>
      <c r="H20" s="48"/>
      <c r="I20" s="44"/>
      <c r="J20" s="50"/>
      <c r="K20" s="50"/>
    </row>
    <row r="21" spans="1:15" ht="21" customHeight="1">
      <c r="A21" s="41" t="s">
        <v>89</v>
      </c>
      <c r="B21" s="205" t="s">
        <v>90</v>
      </c>
      <c r="C21" s="205"/>
      <c r="D21" s="205"/>
      <c r="E21" s="42"/>
      <c r="J21" s="214" t="s">
        <v>74</v>
      </c>
      <c r="K21" s="214"/>
    </row>
    <row r="22" spans="1:15" ht="18" customHeight="1">
      <c r="B22" s="189" t="s">
        <v>78</v>
      </c>
      <c r="C22" s="189"/>
      <c r="D22" s="189"/>
      <c r="E22" s="43"/>
      <c r="G22" s="198" t="s">
        <v>79</v>
      </c>
      <c r="H22" s="198"/>
      <c r="I22" s="39" t="s">
        <v>80</v>
      </c>
      <c r="J22" s="198" t="s">
        <v>81</v>
      </c>
      <c r="K22" s="198"/>
      <c r="L22" s="43"/>
    </row>
    <row r="23" spans="1:15" ht="18" customHeight="1">
      <c r="B23" s="43" t="s">
        <v>143</v>
      </c>
      <c r="C23" s="43"/>
      <c r="D23" s="43"/>
      <c r="E23" s="91" t="s">
        <v>136</v>
      </c>
      <c r="F23" s="43"/>
      <c r="G23" s="196">
        <f>G7</f>
        <v>58310249</v>
      </c>
      <c r="H23" s="196"/>
      <c r="I23" s="60">
        <v>4.0000000000000001E-3</v>
      </c>
      <c r="J23" s="218">
        <f>G23*I23-1</f>
        <v>233239.99600000001</v>
      </c>
      <c r="K23" s="218"/>
    </row>
    <row r="24" spans="1:15" ht="18" customHeight="1">
      <c r="B24" s="43" t="s">
        <v>144</v>
      </c>
      <c r="C24" s="43"/>
      <c r="D24" s="43"/>
      <c r="E24" s="91" t="s">
        <v>138</v>
      </c>
      <c r="F24" s="43"/>
      <c r="G24" s="196">
        <f>G8</f>
        <v>9712422</v>
      </c>
      <c r="H24" s="196"/>
      <c r="I24" s="60">
        <v>4.0000000000000001E-3</v>
      </c>
      <c r="J24" s="218">
        <f>G24*I24</f>
        <v>38849.688000000002</v>
      </c>
      <c r="K24" s="218"/>
    </row>
    <row r="25" spans="1:15" ht="18" customHeight="1">
      <c r="B25" s="43" t="s">
        <v>145</v>
      </c>
      <c r="C25" s="43"/>
      <c r="D25" s="43"/>
      <c r="E25" s="91" t="s">
        <v>140</v>
      </c>
      <c r="F25" s="43"/>
      <c r="G25" s="196">
        <f>G9</f>
        <v>395012</v>
      </c>
      <c r="H25" s="196"/>
      <c r="I25" s="60">
        <v>4.0000000000000001E-3</v>
      </c>
      <c r="J25" s="218">
        <f>G25*I25</f>
        <v>1580.048</v>
      </c>
      <c r="K25" s="218"/>
    </row>
    <row r="26" spans="1:15" ht="18" customHeight="1">
      <c r="B26" s="43" t="s">
        <v>146</v>
      </c>
      <c r="C26" s="43"/>
      <c r="D26" s="43"/>
      <c r="E26" s="91" t="s">
        <v>147</v>
      </c>
      <c r="F26" s="43"/>
      <c r="G26" s="233"/>
      <c r="H26" s="233"/>
      <c r="I26" s="60">
        <v>4.0000000000000001E-3</v>
      </c>
      <c r="J26" s="218">
        <f>G26*I26</f>
        <v>0</v>
      </c>
      <c r="K26" s="218"/>
    </row>
    <row r="27" spans="1:15" ht="18" customHeight="1">
      <c r="B27" s="43" t="s">
        <v>148</v>
      </c>
      <c r="C27" s="43"/>
      <c r="D27" s="43"/>
      <c r="E27" s="91" t="s">
        <v>142</v>
      </c>
      <c r="F27" s="43"/>
      <c r="G27" s="234">
        <f>G10</f>
        <v>0</v>
      </c>
      <c r="H27" s="234"/>
      <c r="I27" s="60">
        <v>4.0000000000000001E-3</v>
      </c>
      <c r="J27" s="235">
        <f>G27*I27</f>
        <v>0</v>
      </c>
      <c r="K27" s="235"/>
      <c r="N27" s="74">
        <f>G6+SUM(G23:H27)</f>
        <v>68417683</v>
      </c>
      <c r="O27" s="75" t="s">
        <v>102</v>
      </c>
    </row>
    <row r="28" spans="1:15" ht="18" customHeight="1" thickBot="1">
      <c r="B28" s="201"/>
      <c r="C28" s="201"/>
      <c r="D28" s="201"/>
      <c r="E28" s="43"/>
      <c r="F28" s="43"/>
      <c r="G28" s="203">
        <f>SUM(G23:H27)</f>
        <v>68417683</v>
      </c>
      <c r="H28" s="203"/>
      <c r="I28" s="110"/>
      <c r="J28" s="202">
        <f>SUM(J23:K27)</f>
        <v>273669.73200000002</v>
      </c>
      <c r="K28" s="202"/>
      <c r="L28" s="47" t="s">
        <v>82</v>
      </c>
      <c r="M28" s="61" t="s">
        <v>91</v>
      </c>
    </row>
    <row r="29" spans="1:15" ht="18" customHeight="1" thickTop="1">
      <c r="B29" s="42"/>
      <c r="C29" s="42"/>
      <c r="D29" s="42"/>
      <c r="E29" s="43"/>
      <c r="F29" s="43"/>
      <c r="G29" s="48"/>
      <c r="H29" s="48"/>
      <c r="I29" s="49"/>
      <c r="J29" s="50"/>
      <c r="K29" s="50"/>
    </row>
    <row r="30" spans="1:15" ht="18" customHeight="1" thickBot="1">
      <c r="B30" s="189" t="s">
        <v>92</v>
      </c>
      <c r="C30" s="189"/>
      <c r="D30" s="189"/>
      <c r="E30" s="43"/>
      <c r="G30" s="196">
        <f>E32+E33+E34+E36</f>
        <v>30212379</v>
      </c>
      <c r="H30" s="196"/>
      <c r="I30" s="60">
        <v>4.0000000000000001E-3</v>
      </c>
      <c r="J30" s="208">
        <f>H32+H33+H34+H36</f>
        <v>120850</v>
      </c>
      <c r="K30" s="208"/>
      <c r="L30" s="54" t="s">
        <v>85</v>
      </c>
    </row>
    <row r="31" spans="1:15" ht="18" customHeight="1" thickTop="1">
      <c r="B31" s="62" t="s">
        <v>165</v>
      </c>
    </row>
    <row r="32" spans="1:15" ht="18" customHeight="1" thickBot="1">
      <c r="B32" s="62" t="s">
        <v>93</v>
      </c>
      <c r="E32" s="209">
        <v>30177816</v>
      </c>
      <c r="F32" s="209"/>
      <c r="G32" s="39" t="s">
        <v>94</v>
      </c>
      <c r="H32" s="63">
        <f>ROUND(E32*0.4%,0)+1</f>
        <v>120712</v>
      </c>
      <c r="I32" s="59" t="s">
        <v>95</v>
      </c>
      <c r="J32" s="210">
        <f>J28+J30</f>
        <v>394519.73200000002</v>
      </c>
      <c r="K32" s="211"/>
    </row>
    <row r="33" spans="1:12" ht="18" customHeight="1" thickTop="1">
      <c r="B33" s="64" t="s">
        <v>96</v>
      </c>
      <c r="C33" s="43"/>
      <c r="D33" s="43"/>
      <c r="E33" s="209">
        <v>34563</v>
      </c>
      <c r="F33" s="209"/>
      <c r="G33" s="39" t="s">
        <v>94</v>
      </c>
      <c r="H33" s="63">
        <f>ROUND(E33*0.4%,0)</f>
        <v>138</v>
      </c>
      <c r="I33" s="43"/>
      <c r="J33" s="43"/>
    </row>
    <row r="34" spans="1:12" ht="18" customHeight="1">
      <c r="B34" s="64" t="s">
        <v>97</v>
      </c>
      <c r="D34" s="43"/>
      <c r="E34" s="206">
        <v>0</v>
      </c>
      <c r="F34" s="206"/>
      <c r="G34" s="39" t="s">
        <v>94</v>
      </c>
      <c r="H34" s="109">
        <f>ROUND(E34*0.4%,0)</f>
        <v>0</v>
      </c>
      <c r="I34" s="43"/>
      <c r="J34" s="43"/>
      <c r="K34" s="43"/>
    </row>
    <row r="35" spans="1:12" ht="18" customHeight="1">
      <c r="B35" s="64" t="s">
        <v>166</v>
      </c>
      <c r="D35" s="43"/>
      <c r="E35" s="108"/>
      <c r="F35" s="108"/>
      <c r="G35" s="106"/>
      <c r="H35" s="107"/>
      <c r="I35" s="43"/>
      <c r="J35" s="43"/>
      <c r="K35" s="43"/>
    </row>
    <row r="36" spans="1:12" ht="18" customHeight="1">
      <c r="B36" s="90" t="s">
        <v>152</v>
      </c>
      <c r="D36" s="43"/>
      <c r="E36" s="209"/>
      <c r="F36" s="209"/>
      <c r="G36" s="39" t="s">
        <v>94</v>
      </c>
      <c r="H36" s="63">
        <f>ROUND(E36*0.4%,0)</f>
        <v>0</v>
      </c>
      <c r="I36" s="63"/>
      <c r="J36" s="43"/>
      <c r="K36" s="43"/>
    </row>
    <row r="37" spans="1:12" ht="18" customHeight="1">
      <c r="B37" s="90"/>
      <c r="D37" s="43"/>
      <c r="E37" s="212"/>
      <c r="F37" s="212"/>
      <c r="G37" s="39"/>
      <c r="H37" s="63"/>
      <c r="I37" s="63"/>
      <c r="J37" s="43"/>
      <c r="K37" s="43"/>
    </row>
    <row r="38" spans="1:12" ht="21" customHeight="1">
      <c r="A38" s="41" t="s">
        <v>98</v>
      </c>
      <c r="B38" s="204" t="s">
        <v>167</v>
      </c>
      <c r="C38" s="205"/>
      <c r="D38" s="205"/>
      <c r="E38" s="42"/>
      <c r="I38" s="39"/>
      <c r="J38" s="207" t="s">
        <v>99</v>
      </c>
      <c r="K38" s="207"/>
    </row>
    <row r="39" spans="1:12" ht="18" customHeight="1">
      <c r="A39" s="65"/>
      <c r="B39" s="189" t="s">
        <v>78</v>
      </c>
      <c r="C39" s="189"/>
      <c r="D39" s="189"/>
      <c r="E39" s="42"/>
      <c r="G39" s="198" t="s">
        <v>79</v>
      </c>
      <c r="H39" s="198"/>
      <c r="I39" s="39" t="s">
        <v>80</v>
      </c>
      <c r="J39" s="199" t="s">
        <v>100</v>
      </c>
      <c r="K39" s="199"/>
    </row>
    <row r="40" spans="1:12" ht="18" customHeight="1">
      <c r="B40" s="43" t="s">
        <v>134</v>
      </c>
      <c r="C40" s="43"/>
      <c r="D40" s="43"/>
      <c r="E40" s="91" t="s">
        <v>133</v>
      </c>
      <c r="F40" s="43"/>
      <c r="G40" s="196">
        <f>G6</f>
        <v>0</v>
      </c>
      <c r="H40" s="196"/>
      <c r="I40" s="66">
        <v>1.5E-3</v>
      </c>
      <c r="J40" s="191">
        <f t="shared" ref="J40:J45" si="0">ROUND(G40*0.15%,0)</f>
        <v>0</v>
      </c>
      <c r="K40" s="191"/>
    </row>
    <row r="41" spans="1:12" ht="18" customHeight="1">
      <c r="B41" s="43" t="s">
        <v>135</v>
      </c>
      <c r="C41" s="43"/>
      <c r="D41" s="43"/>
      <c r="E41" s="91" t="s">
        <v>136</v>
      </c>
      <c r="F41" s="43"/>
      <c r="G41" s="196">
        <f>G7</f>
        <v>58310249</v>
      </c>
      <c r="H41" s="196"/>
      <c r="I41" s="66">
        <v>1.5E-3</v>
      </c>
      <c r="J41" s="191">
        <f t="shared" si="0"/>
        <v>87465</v>
      </c>
      <c r="K41" s="191"/>
    </row>
    <row r="42" spans="1:12" ht="18" customHeight="1">
      <c r="B42" s="43" t="s">
        <v>137</v>
      </c>
      <c r="C42" s="43"/>
      <c r="D42" s="43"/>
      <c r="E42" s="91" t="s">
        <v>138</v>
      </c>
      <c r="F42" s="43"/>
      <c r="G42" s="196">
        <f>G8</f>
        <v>9712422</v>
      </c>
      <c r="H42" s="196"/>
      <c r="I42" s="66">
        <v>1.5E-3</v>
      </c>
      <c r="J42" s="191">
        <f t="shared" si="0"/>
        <v>14569</v>
      </c>
      <c r="K42" s="191"/>
    </row>
    <row r="43" spans="1:12" ht="18" customHeight="1">
      <c r="B43" s="43" t="s">
        <v>139</v>
      </c>
      <c r="C43" s="43"/>
      <c r="D43" s="43"/>
      <c r="E43" s="91" t="s">
        <v>140</v>
      </c>
      <c r="F43" s="43"/>
      <c r="G43" s="196">
        <f>G9</f>
        <v>395012</v>
      </c>
      <c r="H43" s="196"/>
      <c r="I43" s="66">
        <v>1.5E-3</v>
      </c>
      <c r="J43" s="191">
        <f t="shared" si="0"/>
        <v>593</v>
      </c>
      <c r="K43" s="191"/>
    </row>
    <row r="44" spans="1:12" ht="18" customHeight="1">
      <c r="B44" s="43" t="s">
        <v>149</v>
      </c>
      <c r="C44" s="43"/>
      <c r="D44" s="43"/>
      <c r="E44" s="91" t="s">
        <v>147</v>
      </c>
      <c r="F44" s="43"/>
      <c r="G44" s="197">
        <f>G26</f>
        <v>0</v>
      </c>
      <c r="H44" s="197"/>
      <c r="I44" s="66">
        <v>1.5E-3</v>
      </c>
      <c r="J44" s="191">
        <f t="shared" si="0"/>
        <v>0</v>
      </c>
      <c r="K44" s="191"/>
    </row>
    <row r="45" spans="1:12" ht="18" customHeight="1">
      <c r="B45" s="43" t="s">
        <v>150</v>
      </c>
      <c r="C45" s="43"/>
      <c r="D45" s="43"/>
      <c r="E45" s="91" t="s">
        <v>142</v>
      </c>
      <c r="F45" s="43"/>
      <c r="G45" s="200">
        <f>G10</f>
        <v>0</v>
      </c>
      <c r="H45" s="200"/>
      <c r="I45" s="66">
        <v>1.5E-3</v>
      </c>
      <c r="J45" s="191">
        <f t="shared" si="0"/>
        <v>0</v>
      </c>
      <c r="K45" s="191"/>
    </row>
    <row r="46" spans="1:12" ht="18" customHeight="1">
      <c r="B46" s="43"/>
      <c r="C46" s="43"/>
      <c r="D46" s="43"/>
      <c r="E46" s="43"/>
      <c r="F46" s="43"/>
      <c r="G46" s="48"/>
      <c r="H46" s="48"/>
      <c r="J46" s="67"/>
      <c r="K46" s="67"/>
    </row>
    <row r="47" spans="1:12" ht="18" customHeight="1">
      <c r="B47" s="189" t="s">
        <v>101</v>
      </c>
      <c r="C47" s="189"/>
      <c r="D47" s="189"/>
      <c r="E47" s="189"/>
      <c r="F47" s="189"/>
      <c r="G47" s="68"/>
      <c r="H47" s="68"/>
      <c r="J47" s="69"/>
      <c r="L47" s="65"/>
    </row>
    <row r="48" spans="1:12" ht="19.5" customHeight="1">
      <c r="B48" s="43" t="s">
        <v>182</v>
      </c>
      <c r="C48" s="43"/>
      <c r="D48" s="43"/>
      <c r="E48" s="43" t="s">
        <v>183</v>
      </c>
      <c r="F48" s="43"/>
      <c r="G48" s="190">
        <f>銷項稅額!E27+G19</f>
        <v>199363481.09</v>
      </c>
      <c r="H48" s="190"/>
      <c r="I48" s="66">
        <v>1.5E-3</v>
      </c>
      <c r="J48" s="191">
        <f>ROUND(G48*0.15%,0)+1</f>
        <v>299046</v>
      </c>
      <c r="K48" s="191"/>
    </row>
    <row r="49" spans="2:15" ht="19.5" customHeight="1">
      <c r="B49" s="192" t="s">
        <v>184</v>
      </c>
      <c r="C49" s="192"/>
      <c r="D49" s="192"/>
      <c r="E49" s="192"/>
      <c r="F49" s="192"/>
      <c r="G49" s="193"/>
      <c r="H49" s="193"/>
      <c r="J49" s="191"/>
      <c r="K49" s="191"/>
    </row>
    <row r="50" spans="2:15" ht="19.5" customHeight="1">
      <c r="B50" s="43" t="s">
        <v>190</v>
      </c>
      <c r="C50" s="43"/>
      <c r="D50" s="43"/>
      <c r="E50" s="43" t="s">
        <v>185</v>
      </c>
      <c r="F50" s="43"/>
      <c r="G50" s="194">
        <f>銷項稅額!E37</f>
        <v>15517426</v>
      </c>
      <c r="H50" s="194"/>
      <c r="I50" s="66">
        <v>1.5E-3</v>
      </c>
      <c r="J50" s="191">
        <f>ROUND(G50*0.15%,0)</f>
        <v>23276</v>
      </c>
      <c r="K50" s="191"/>
    </row>
    <row r="51" spans="2:15" ht="19.5" customHeight="1">
      <c r="B51" s="43" t="s">
        <v>188</v>
      </c>
      <c r="C51" s="43"/>
      <c r="D51" s="43"/>
      <c r="E51" s="43" t="s">
        <v>186</v>
      </c>
      <c r="F51" s="43"/>
      <c r="G51" s="194">
        <f>銷項稅額!E38</f>
        <v>11026055</v>
      </c>
      <c r="H51" s="194"/>
      <c r="I51" s="66">
        <v>1.5E-3</v>
      </c>
      <c r="J51" s="191">
        <f>ROUND(G51*0.15%,0)</f>
        <v>16539</v>
      </c>
      <c r="K51" s="191"/>
    </row>
    <row r="52" spans="2:15" ht="19.5" customHeight="1">
      <c r="B52" s="43" t="s">
        <v>189</v>
      </c>
      <c r="C52" s="43"/>
      <c r="D52" s="43"/>
      <c r="E52" s="43" t="s">
        <v>187</v>
      </c>
      <c r="F52" s="43"/>
      <c r="G52" s="194">
        <f>銷項稅額!E39</f>
        <v>95981</v>
      </c>
      <c r="H52" s="194"/>
      <c r="I52" s="66">
        <v>1.5E-3</v>
      </c>
      <c r="J52" s="195">
        <f>ROUND(G52*0.15%,0)</f>
        <v>144</v>
      </c>
      <c r="K52" s="195"/>
      <c r="N52" s="76">
        <f>SUM(G48:H52)</f>
        <v>226002943.09</v>
      </c>
      <c r="O52" s="75" t="s">
        <v>103</v>
      </c>
    </row>
    <row r="53" spans="2:15" ht="22.5" customHeight="1" thickBot="1">
      <c r="E53" s="70"/>
      <c r="G53" s="230">
        <f>SUM(G40:H52)</f>
        <v>294420626.09000003</v>
      </c>
      <c r="H53" s="230"/>
      <c r="I53" s="45"/>
      <c r="J53" s="188">
        <f>SUM(J40:J52)</f>
        <v>441632</v>
      </c>
      <c r="K53" s="188"/>
      <c r="L53" s="47" t="s">
        <v>82</v>
      </c>
      <c r="M53" s="61" t="s">
        <v>91</v>
      </c>
    </row>
    <row r="54" spans="2:15" ht="17.5" thickTop="1">
      <c r="E54" s="70"/>
      <c r="H54" s="53"/>
      <c r="I54" s="53"/>
      <c r="J54" s="71"/>
      <c r="K54" s="71"/>
      <c r="L54" s="88"/>
    </row>
    <row r="55" spans="2:15" s="51" customFormat="1" ht="17">
      <c r="B55" s="72" t="s">
        <v>113</v>
      </c>
      <c r="C55" s="72"/>
      <c r="D55" s="73"/>
      <c r="E55" s="86" t="s">
        <v>107</v>
      </c>
      <c r="F55" s="86"/>
      <c r="G55" s="86"/>
      <c r="H55" s="86"/>
      <c r="I55" s="72" t="s">
        <v>108</v>
      </c>
      <c r="K55" s="86" t="s">
        <v>114</v>
      </c>
    </row>
  </sheetData>
  <mergeCells count="92">
    <mergeCell ref="G53:H53"/>
    <mergeCell ref="G15:H15"/>
    <mergeCell ref="J15:K15"/>
    <mergeCell ref="J17:K17"/>
    <mergeCell ref="G23:H23"/>
    <mergeCell ref="J23:K23"/>
    <mergeCell ref="G24:H24"/>
    <mergeCell ref="J24:K24"/>
    <mergeCell ref="G25:H25"/>
    <mergeCell ref="J25:K25"/>
    <mergeCell ref="G26:H26"/>
    <mergeCell ref="J26:K26"/>
    <mergeCell ref="G27:H27"/>
    <mergeCell ref="J27:K27"/>
    <mergeCell ref="G40:H40"/>
    <mergeCell ref="J40:K40"/>
    <mergeCell ref="A1:K1"/>
    <mergeCell ref="A2:K2"/>
    <mergeCell ref="B4:D4"/>
    <mergeCell ref="G4:H4"/>
    <mergeCell ref="J4:K4"/>
    <mergeCell ref="B5:D5"/>
    <mergeCell ref="G5:H5"/>
    <mergeCell ref="G6:H6"/>
    <mergeCell ref="G10:H10"/>
    <mergeCell ref="J10:K10"/>
    <mergeCell ref="J5:K5"/>
    <mergeCell ref="J6:K6"/>
    <mergeCell ref="G9:H9"/>
    <mergeCell ref="J9:K9"/>
    <mergeCell ref="B11:D11"/>
    <mergeCell ref="G11:H11"/>
    <mergeCell ref="J11:K11"/>
    <mergeCell ref="G7:H7"/>
    <mergeCell ref="J7:K7"/>
    <mergeCell ref="G8:H8"/>
    <mergeCell ref="J8:K8"/>
    <mergeCell ref="B12:D12"/>
    <mergeCell ref="G12:H12"/>
    <mergeCell ref="J12:K12"/>
    <mergeCell ref="G13:H13"/>
    <mergeCell ref="J13:K13"/>
    <mergeCell ref="M19:O19"/>
    <mergeCell ref="B21:D21"/>
    <mergeCell ref="J21:K21"/>
    <mergeCell ref="B22:D22"/>
    <mergeCell ref="G22:H22"/>
    <mergeCell ref="J22:K22"/>
    <mergeCell ref="D19:F19"/>
    <mergeCell ref="G19:H19"/>
    <mergeCell ref="J19:K19"/>
    <mergeCell ref="B28:D28"/>
    <mergeCell ref="J28:K28"/>
    <mergeCell ref="G28:H28"/>
    <mergeCell ref="B38:D38"/>
    <mergeCell ref="E34:F34"/>
    <mergeCell ref="J38:K38"/>
    <mergeCell ref="B30:D30"/>
    <mergeCell ref="G30:H30"/>
    <mergeCell ref="J30:K30"/>
    <mergeCell ref="E32:F32"/>
    <mergeCell ref="J32:K32"/>
    <mergeCell ref="E37:F37"/>
    <mergeCell ref="E33:F33"/>
    <mergeCell ref="E36:F36"/>
    <mergeCell ref="G51:H51"/>
    <mergeCell ref="J51:K51"/>
    <mergeCell ref="B39:D39"/>
    <mergeCell ref="G39:H39"/>
    <mergeCell ref="J39:K39"/>
    <mergeCell ref="G45:H45"/>
    <mergeCell ref="J45:K45"/>
    <mergeCell ref="G41:H41"/>
    <mergeCell ref="J41:K41"/>
    <mergeCell ref="G42:H42"/>
    <mergeCell ref="J42:K42"/>
    <mergeCell ref="G17:H17"/>
    <mergeCell ref="J53:K53"/>
    <mergeCell ref="B47:F47"/>
    <mergeCell ref="G48:H48"/>
    <mergeCell ref="J48:K48"/>
    <mergeCell ref="B49:F49"/>
    <mergeCell ref="G49:H49"/>
    <mergeCell ref="J49:K49"/>
    <mergeCell ref="G50:H50"/>
    <mergeCell ref="J50:K50"/>
    <mergeCell ref="G52:H52"/>
    <mergeCell ref="J52:K52"/>
    <mergeCell ref="G43:H43"/>
    <mergeCell ref="J43:K43"/>
    <mergeCell ref="G44:H44"/>
    <mergeCell ref="J44:K44"/>
  </mergeCells>
  <phoneticPr fontId="19" type="noConversion"/>
  <printOptions horizontalCentered="1"/>
  <pageMargins left="0.15748031496062992" right="0.15748031496062992" top="0.27559055118110237" bottom="0.11811023622047245" header="0.51181102362204722" footer="0.51181102362204722"/>
  <pageSetup paperSize="9" scale="81" orientation="portrait" r:id="rId1"/>
  <headerFooter>
    <oddFooter xml:space="preserve">&amp;C&amp;"新細明體,粗體"&amp;P－&amp;N&amp;R
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FF0000"/>
    <pageSetUpPr fitToPage="1"/>
  </sheetPr>
  <dimension ref="A1:J54"/>
  <sheetViews>
    <sheetView zoomScaleNormal="100" workbookViewId="0">
      <selection activeCell="C45" sqref="C45"/>
    </sheetView>
  </sheetViews>
  <sheetFormatPr defaultColWidth="9" defaultRowHeight="17"/>
  <cols>
    <col min="1" max="1" width="11.90625" style="19" bestFit="1" customWidth="1"/>
    <col min="2" max="2" width="15.90625" style="18" bestFit="1" customWidth="1"/>
    <col min="3" max="3" width="13.90625" style="18" bestFit="1" customWidth="1"/>
    <col min="4" max="4" width="12.7265625" style="19" customWidth="1"/>
    <col min="5" max="5" width="1.08984375" style="19" customWidth="1"/>
    <col min="6" max="6" width="11.36328125" style="19" customWidth="1"/>
    <col min="7" max="16384" width="9" style="19"/>
  </cols>
  <sheetData>
    <row r="1" spans="1:7" s="15" customFormat="1" ht="18" thickBot="1">
      <c r="A1" s="13"/>
      <c r="B1" s="14" t="s">
        <v>58</v>
      </c>
      <c r="C1" s="14" t="s">
        <v>59</v>
      </c>
    </row>
    <row r="2" spans="1:7" ht="17.5">
      <c r="A2" s="16" t="s">
        <v>60</v>
      </c>
      <c r="B2" s="17">
        <f>199545327+494</f>
        <v>199545821</v>
      </c>
      <c r="C2" s="17">
        <f>9977222+25</f>
        <v>9977247</v>
      </c>
      <c r="D2" s="18">
        <f>B2*5%</f>
        <v>9977291.0500000007</v>
      </c>
      <c r="F2" s="20">
        <f>C2-D2</f>
        <v>-44.050000000745058</v>
      </c>
      <c r="G2" s="21" t="s">
        <v>61</v>
      </c>
    </row>
    <row r="3" spans="1:7" ht="18" thickBot="1">
      <c r="A3" s="22" t="s">
        <v>62</v>
      </c>
      <c r="B3" s="23">
        <f>B5-B2+B4</f>
        <v>107737956.11000001</v>
      </c>
      <c r="C3" s="23">
        <f>C5-C2+C4</f>
        <v>5386944</v>
      </c>
      <c r="D3" s="18">
        <f>B3*5%</f>
        <v>5386897.8055000007</v>
      </c>
      <c r="E3" s="18"/>
      <c r="F3" s="20">
        <f>C3-D3</f>
        <v>46.194499999284744</v>
      </c>
    </row>
    <row r="4" spans="1:7" ht="18.5" thickTop="1" thickBot="1">
      <c r="A4" s="24" t="s">
        <v>63</v>
      </c>
      <c r="B4" s="25">
        <f>2314</f>
        <v>2314</v>
      </c>
      <c r="C4" s="23">
        <v>116</v>
      </c>
      <c r="D4" s="18"/>
      <c r="E4" s="18"/>
    </row>
    <row r="5" spans="1:7" ht="18.5" thickTop="1" thickBot="1">
      <c r="A5" s="26" t="s">
        <v>64</v>
      </c>
      <c r="B5" s="27">
        <f>SUM(B6:B7)</f>
        <v>307281463.11000001</v>
      </c>
      <c r="C5" s="27">
        <f>SUM(C6:C7)</f>
        <v>15364075</v>
      </c>
    </row>
    <row r="6" spans="1:7" ht="17.5">
      <c r="A6" s="28" t="s">
        <v>65</v>
      </c>
      <c r="B6" s="133">
        <v>207329658.63</v>
      </c>
      <c r="C6" s="29">
        <v>10366483</v>
      </c>
      <c r="G6" s="21" t="s">
        <v>66</v>
      </c>
    </row>
    <row r="7" spans="1:7" ht="17.5">
      <c r="A7" s="30" t="s">
        <v>67</v>
      </c>
      <c r="B7" s="126">
        <v>99951804.480000004</v>
      </c>
      <c r="C7" s="31">
        <v>4997592</v>
      </c>
    </row>
    <row r="8" spans="1:7" ht="13" customHeight="1"/>
    <row r="9" spans="1:7" ht="18" thickBot="1">
      <c r="A9" s="13"/>
      <c r="B9" s="14" t="s">
        <v>58</v>
      </c>
      <c r="C9" s="14" t="s">
        <v>59</v>
      </c>
      <c r="D9" s="15"/>
      <c r="E9" s="15"/>
    </row>
    <row r="10" spans="1:7" ht="17.25" customHeight="1">
      <c r="A10" s="16" t="s">
        <v>60</v>
      </c>
      <c r="B10" s="141">
        <v>277368132</v>
      </c>
      <c r="C10" s="141">
        <v>13868380</v>
      </c>
      <c r="D10" s="18">
        <f>B10*5%</f>
        <v>13868406.600000001</v>
      </c>
      <c r="F10" s="20">
        <f>C10-D10</f>
        <v>-26.600000001490116</v>
      </c>
    </row>
    <row r="11" spans="1:7" ht="17.5" hidden="1">
      <c r="A11" s="24" t="s">
        <v>68</v>
      </c>
      <c r="B11" s="142"/>
      <c r="C11" s="142"/>
      <c r="D11" s="18">
        <f>B11*5%</f>
        <v>0</v>
      </c>
      <c r="F11" s="20">
        <f>C11-D11</f>
        <v>0</v>
      </c>
    </row>
    <row r="12" spans="1:7" ht="18" thickBot="1">
      <c r="A12" s="22" t="s">
        <v>62</v>
      </c>
      <c r="B12" s="143">
        <f>B14-B10-B11+B13</f>
        <v>86197579.320000052</v>
      </c>
      <c r="C12" s="143">
        <f>C14-C10-C11+C13</f>
        <v>4309906</v>
      </c>
      <c r="D12" s="18">
        <f>B12*5%</f>
        <v>4309878.9660000028</v>
      </c>
      <c r="E12" s="18"/>
      <c r="F12" s="20">
        <f>C12-D12</f>
        <v>27.033999997191131</v>
      </c>
    </row>
    <row r="13" spans="1:7" ht="18.5" thickTop="1" thickBot="1">
      <c r="A13" s="24" t="s">
        <v>63</v>
      </c>
      <c r="B13" s="144">
        <f>1714+9986+1157+299</f>
        <v>13156</v>
      </c>
      <c r="C13" s="144">
        <f>86+499+58+15</f>
        <v>658</v>
      </c>
      <c r="D13" s="18"/>
      <c r="E13" s="18"/>
    </row>
    <row r="14" spans="1:7" ht="18.5" thickTop="1" thickBot="1">
      <c r="A14" s="26" t="s">
        <v>64</v>
      </c>
      <c r="B14" s="140">
        <f>SUM(B15:B16)</f>
        <v>363552555.32000005</v>
      </c>
      <c r="C14" s="27">
        <f>SUM(C15:C16)</f>
        <v>18177628</v>
      </c>
    </row>
    <row r="15" spans="1:7" ht="17.5">
      <c r="A15" s="28" t="s">
        <v>69</v>
      </c>
      <c r="B15" s="125">
        <v>183655484.52000001</v>
      </c>
      <c r="C15" s="29">
        <v>9182775</v>
      </c>
    </row>
    <row r="16" spans="1:7" ht="17.5">
      <c r="A16" s="30" t="s">
        <v>70</v>
      </c>
      <c r="B16" s="126">
        <v>179897070.80000001</v>
      </c>
      <c r="C16" s="31">
        <v>8994853</v>
      </c>
    </row>
    <row r="17" spans="1:6" ht="13" customHeight="1"/>
    <row r="18" spans="1:6" ht="18" thickBot="1">
      <c r="A18" s="13"/>
      <c r="B18" s="14" t="s">
        <v>58</v>
      </c>
      <c r="C18" s="14" t="s">
        <v>59</v>
      </c>
      <c r="D18" s="15"/>
      <c r="E18" s="15"/>
    </row>
    <row r="19" spans="1:6" ht="17.5">
      <c r="A19" s="16" t="s">
        <v>60</v>
      </c>
      <c r="B19" s="17">
        <f>301252080+45</f>
        <v>301252125</v>
      </c>
      <c r="C19" s="17">
        <f>15062573+0</f>
        <v>15062573</v>
      </c>
      <c r="D19" s="18">
        <f>B19*5%</f>
        <v>15062606.25</v>
      </c>
      <c r="F19" s="20">
        <f>C19-D19</f>
        <v>-33.25</v>
      </c>
    </row>
    <row r="20" spans="1:6" ht="17.5">
      <c r="A20" s="32" t="s">
        <v>62</v>
      </c>
      <c r="B20" s="33">
        <f>B23-B19+B22-B21</f>
        <v>33490623.189999998</v>
      </c>
      <c r="C20" s="33">
        <f>C23-C19+C22-C21</f>
        <v>1674564</v>
      </c>
      <c r="D20" s="18">
        <f>B20*5%</f>
        <v>1674531.1595000001</v>
      </c>
      <c r="E20" s="18"/>
      <c r="F20" s="20">
        <f>C20-D20</f>
        <v>32.840499999932945</v>
      </c>
    </row>
    <row r="21" spans="1:6" ht="17.5">
      <c r="A21" s="34" t="s">
        <v>112</v>
      </c>
      <c r="B21" s="31"/>
      <c r="C21" s="31"/>
      <c r="D21" s="18"/>
      <c r="E21" s="18"/>
      <c r="F21" s="20"/>
    </row>
    <row r="22" spans="1:6" ht="18" thickBot="1">
      <c r="A22" s="24" t="s">
        <v>63</v>
      </c>
      <c r="B22" s="31"/>
      <c r="C22" s="31"/>
      <c r="D22" s="18"/>
      <c r="E22" s="18"/>
    </row>
    <row r="23" spans="1:6" ht="18.5" thickTop="1" thickBot="1">
      <c r="A23" s="26" t="s">
        <v>64</v>
      </c>
      <c r="B23" s="35">
        <f>SUM(B24:B25)</f>
        <v>334742748.19</v>
      </c>
      <c r="C23" s="35">
        <f>SUM(C24:C25)</f>
        <v>16737137</v>
      </c>
    </row>
    <row r="24" spans="1:6" ht="17.5">
      <c r="A24" s="28" t="s">
        <v>71</v>
      </c>
      <c r="B24" s="125">
        <v>179553642.43000001</v>
      </c>
      <c r="C24" s="29">
        <v>8977681</v>
      </c>
    </row>
    <row r="25" spans="1:6" ht="17.5">
      <c r="A25" s="30" t="s">
        <v>72</v>
      </c>
      <c r="B25" s="126">
        <v>155189105.75999999</v>
      </c>
      <c r="C25" s="31">
        <v>7759456</v>
      </c>
    </row>
    <row r="26" spans="1:6" ht="13" customHeight="1"/>
    <row r="27" spans="1:6" ht="18" thickBot="1">
      <c r="A27" s="13"/>
      <c r="B27" s="14" t="s">
        <v>58</v>
      </c>
      <c r="C27" s="14" t="s">
        <v>59</v>
      </c>
      <c r="D27" s="15"/>
      <c r="E27" s="15"/>
    </row>
    <row r="28" spans="1:6" ht="17.5">
      <c r="A28" s="16" t="s">
        <v>60</v>
      </c>
      <c r="B28" s="17">
        <f>272405638+844</f>
        <v>272406482</v>
      </c>
      <c r="C28" s="17">
        <v>13620282</v>
      </c>
      <c r="D28" s="18">
        <f>B28*5%</f>
        <v>13620324.100000001</v>
      </c>
      <c r="F28" s="20">
        <f>C28-D28</f>
        <v>-42.100000001490116</v>
      </c>
    </row>
    <row r="29" spans="1:6" ht="17.5">
      <c r="A29" s="32" t="s">
        <v>62</v>
      </c>
      <c r="B29" s="33">
        <f>B33-B28+B32+B31-B30</f>
        <v>382580196.18000001</v>
      </c>
      <c r="C29" s="33">
        <f>C33-C28+C32+C31-C30</f>
        <v>19129056</v>
      </c>
      <c r="D29" s="18">
        <f>B29*5%</f>
        <v>19129009.809</v>
      </c>
      <c r="E29" s="18"/>
      <c r="F29" s="20">
        <f>C29-D29</f>
        <v>46.190999999642372</v>
      </c>
    </row>
    <row r="30" spans="1:6" ht="17.5">
      <c r="A30" s="34" t="s">
        <v>68</v>
      </c>
      <c r="B30" s="31"/>
      <c r="C30" s="31"/>
      <c r="D30" s="18"/>
      <c r="E30" s="18"/>
      <c r="F30" s="20"/>
    </row>
    <row r="31" spans="1:6" ht="17.5">
      <c r="A31" s="34" t="s">
        <v>223</v>
      </c>
      <c r="B31" s="31">
        <v>1157</v>
      </c>
      <c r="C31" s="31">
        <v>58</v>
      </c>
      <c r="D31" s="18"/>
      <c r="E31" s="18"/>
      <c r="F31" s="20"/>
    </row>
    <row r="32" spans="1:6" ht="17.5">
      <c r="A32" s="34" t="s">
        <v>224</v>
      </c>
      <c r="B32" s="31">
        <v>444569181</v>
      </c>
      <c r="C32" s="31">
        <v>22228459</v>
      </c>
      <c r="D32" s="18"/>
      <c r="E32" s="18"/>
      <c r="F32" s="20"/>
    </row>
    <row r="33" spans="1:10" ht="18" thickBot="1">
      <c r="A33" s="174" t="s">
        <v>33</v>
      </c>
      <c r="B33" s="35">
        <f>SUM(B34:B35)</f>
        <v>210416340.18000001</v>
      </c>
      <c r="C33" s="35">
        <f>SUM(C34:C35)</f>
        <v>10520821</v>
      </c>
      <c r="D33" s="18"/>
      <c r="F33" s="20"/>
    </row>
    <row r="34" spans="1:10" ht="17.5">
      <c r="A34" s="28" t="s">
        <v>115</v>
      </c>
      <c r="B34" s="125">
        <v>128433357.68000001</v>
      </c>
      <c r="C34" s="29">
        <v>6421670</v>
      </c>
      <c r="D34" s="37"/>
      <c r="E34" s="38"/>
      <c r="F34" s="38"/>
      <c r="G34" s="36"/>
      <c r="H34" s="36"/>
      <c r="I34" s="36"/>
      <c r="J34" s="36"/>
    </row>
    <row r="35" spans="1:10" ht="17.5">
      <c r="A35" s="30" t="s">
        <v>116</v>
      </c>
      <c r="B35" s="126">
        <v>81982982.5</v>
      </c>
      <c r="C35" s="31">
        <v>4099151</v>
      </c>
      <c r="D35" s="37"/>
      <c r="E35" s="38"/>
      <c r="F35" s="38"/>
      <c r="G35" s="36"/>
      <c r="H35" s="36"/>
      <c r="I35" s="36"/>
    </row>
    <row r="36" spans="1:10" ht="13" customHeight="1">
      <c r="F36" s="36"/>
    </row>
    <row r="37" spans="1:10" ht="18" thickBot="1">
      <c r="A37" s="13"/>
      <c r="B37" s="14" t="s">
        <v>19</v>
      </c>
      <c r="C37" s="14" t="s">
        <v>59</v>
      </c>
      <c r="D37" s="15"/>
      <c r="E37" s="15"/>
    </row>
    <row r="38" spans="1:10" ht="17.5">
      <c r="A38" s="16" t="s">
        <v>60</v>
      </c>
      <c r="B38" s="124">
        <f>239718077+2916</f>
        <v>239720993</v>
      </c>
      <c r="C38" s="124">
        <f>6232512+5753366</f>
        <v>11985878</v>
      </c>
      <c r="D38" s="18">
        <f>B38*5%</f>
        <v>11986049.65</v>
      </c>
      <c r="F38" s="20">
        <f>C38-D38</f>
        <v>-171.65000000037253</v>
      </c>
    </row>
    <row r="39" spans="1:10" ht="17.5">
      <c r="A39" s="32" t="s">
        <v>62</v>
      </c>
      <c r="B39" s="33">
        <f>B43-B38+B42-B40+B41</f>
        <v>390038382.97000003</v>
      </c>
      <c r="C39" s="33">
        <f>C43-C38+C42-C40+C41</f>
        <v>19502090</v>
      </c>
      <c r="D39" s="18">
        <f>B39*5%</f>
        <v>19501919.148500003</v>
      </c>
      <c r="E39" s="18"/>
      <c r="F39" s="20">
        <f>C39-D39</f>
        <v>170.85149999707937</v>
      </c>
    </row>
    <row r="40" spans="1:10" ht="17.25" customHeight="1">
      <c r="A40" s="34" t="s">
        <v>68</v>
      </c>
      <c r="B40" s="31"/>
      <c r="C40" s="31"/>
      <c r="D40" s="18"/>
      <c r="E40" s="18"/>
      <c r="F40" s="20"/>
    </row>
    <row r="41" spans="1:10" ht="17.25" customHeight="1">
      <c r="A41" s="34" t="s">
        <v>223</v>
      </c>
      <c r="B41" s="31"/>
      <c r="C41" s="31"/>
      <c r="D41" s="18"/>
      <c r="E41" s="18"/>
      <c r="F41" s="20"/>
    </row>
    <row r="42" spans="1:10" ht="18" thickBot="1">
      <c r="A42" s="34" t="s">
        <v>224</v>
      </c>
      <c r="B42" s="31">
        <v>361073966</v>
      </c>
      <c r="C42" s="31">
        <v>18053698</v>
      </c>
      <c r="D42" s="18"/>
      <c r="E42" s="18"/>
      <c r="F42" s="36"/>
    </row>
    <row r="43" spans="1:10" ht="18.5" thickTop="1" thickBot="1">
      <c r="A43" s="26" t="s">
        <v>33</v>
      </c>
      <c r="B43" s="35">
        <f>SUM(B44:B45)</f>
        <v>268685409.97000003</v>
      </c>
      <c r="C43" s="35">
        <f>SUM(C44:C45)</f>
        <v>13434270</v>
      </c>
      <c r="F43" s="36"/>
    </row>
    <row r="44" spans="1:10" ht="17.5">
      <c r="A44" s="28" t="s">
        <v>119</v>
      </c>
      <c r="B44" s="125">
        <v>106770228.72</v>
      </c>
      <c r="C44" s="29">
        <v>5338512</v>
      </c>
      <c r="D44" s="37"/>
      <c r="E44" s="38"/>
      <c r="F44" s="38"/>
      <c r="G44" s="36"/>
      <c r="H44" s="36"/>
      <c r="I44" s="36"/>
      <c r="J44" s="36"/>
    </row>
    <row r="45" spans="1:10" ht="17.5">
      <c r="A45" s="30" t="s">
        <v>120</v>
      </c>
      <c r="B45" s="126">
        <v>161915181.25</v>
      </c>
      <c r="C45" s="31">
        <v>8095758</v>
      </c>
      <c r="D45" s="37"/>
      <c r="E45" s="38"/>
      <c r="F45" s="38"/>
      <c r="G45" s="36"/>
      <c r="H45" s="36"/>
      <c r="I45" s="36"/>
    </row>
    <row r="47" spans="1:10" ht="18" thickBot="1">
      <c r="A47" s="13"/>
      <c r="B47" s="14" t="s">
        <v>19</v>
      </c>
      <c r="C47" s="14" t="s">
        <v>59</v>
      </c>
      <c r="D47" s="15"/>
      <c r="E47" s="15"/>
    </row>
    <row r="48" spans="1:10" ht="17.5">
      <c r="A48" s="16" t="s">
        <v>60</v>
      </c>
      <c r="B48" s="17"/>
      <c r="C48" s="17"/>
      <c r="D48" s="18">
        <f>B48*5%</f>
        <v>0</v>
      </c>
      <c r="F48" s="20">
        <f>C48-D48</f>
        <v>0</v>
      </c>
    </row>
    <row r="49" spans="1:6" ht="17.5">
      <c r="A49" s="32" t="s">
        <v>62</v>
      </c>
      <c r="B49" s="33">
        <f>B52-B48+B51-B50</f>
        <v>5743</v>
      </c>
      <c r="C49" s="33">
        <f>C52-C48+C51-C50</f>
        <v>287</v>
      </c>
      <c r="D49" s="18">
        <f>B49*5%</f>
        <v>287.15000000000003</v>
      </c>
      <c r="E49" s="18"/>
      <c r="F49" s="20">
        <f>C49-D49</f>
        <v>-0.15000000000003411</v>
      </c>
    </row>
    <row r="50" spans="1:6" ht="17.5">
      <c r="A50" s="34" t="s">
        <v>117</v>
      </c>
      <c r="B50" s="31"/>
      <c r="C50" s="31"/>
      <c r="D50" s="18"/>
      <c r="E50" s="18"/>
      <c r="F50" s="20"/>
    </row>
    <row r="51" spans="1:6" ht="18" thickBot="1">
      <c r="A51" s="24" t="s">
        <v>63</v>
      </c>
      <c r="B51" s="31">
        <v>5743</v>
      </c>
      <c r="C51" s="31">
        <v>287</v>
      </c>
      <c r="D51" s="18"/>
      <c r="E51" s="18"/>
      <c r="F51" s="36"/>
    </row>
    <row r="52" spans="1:6" ht="18.5" thickTop="1" thickBot="1">
      <c r="A52" s="26" t="s">
        <v>33</v>
      </c>
      <c r="B52" s="35">
        <f>SUM(B53:B54)</f>
        <v>0</v>
      </c>
      <c r="C52" s="35">
        <f>SUM(C53:C54)</f>
        <v>0</v>
      </c>
      <c r="F52" s="36"/>
    </row>
    <row r="53" spans="1:6" ht="17.5">
      <c r="A53" s="28" t="s">
        <v>121</v>
      </c>
      <c r="B53" s="125"/>
      <c r="C53" s="29"/>
      <c r="D53" s="37"/>
      <c r="E53" s="38"/>
      <c r="F53" s="38"/>
    </row>
    <row r="54" spans="1:6" ht="17.5">
      <c r="A54" s="30" t="s">
        <v>122</v>
      </c>
      <c r="B54" s="126"/>
      <c r="C54" s="31"/>
      <c r="D54" s="37"/>
      <c r="E54" s="38"/>
      <c r="F54" s="38"/>
    </row>
  </sheetData>
  <phoneticPr fontId="19" type="noConversion"/>
  <printOptions horizontalCentered="1"/>
  <pageMargins left="0.74803149606299213" right="0.74803149606299213" top="0.78740157480314965" bottom="0.23622047244094491" header="0.27559055118110237" footer="0.23622047244094491"/>
  <pageSetup paperSize="9" scale="8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rgb="FFFFFF00"/>
  </sheetPr>
  <dimension ref="A1:F5"/>
  <sheetViews>
    <sheetView workbookViewId="0"/>
  </sheetViews>
  <sheetFormatPr defaultRowHeight="17"/>
  <cols>
    <col min="1" max="2" width="12.6328125" customWidth="1"/>
    <col min="4" max="4" width="50.6328125" customWidth="1"/>
    <col min="5" max="5" width="30.6328125" customWidth="1"/>
  </cols>
  <sheetData>
    <row r="1" spans="1:6">
      <c r="A1" t="s">
        <v>168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</row>
    <row r="2" spans="1:6">
      <c r="A2" s="114">
        <v>43349</v>
      </c>
      <c r="B2" s="115">
        <v>0.6114236111111111</v>
      </c>
      <c r="C2" t="s">
        <v>174</v>
      </c>
      <c r="D2" t="s">
        <v>175</v>
      </c>
      <c r="E2" t="s">
        <v>176</v>
      </c>
    </row>
    <row r="3" spans="1:6">
      <c r="A3" s="114">
        <v>43349</v>
      </c>
      <c r="B3" s="115">
        <v>0.61182870370370368</v>
      </c>
      <c r="C3" t="s">
        <v>174</v>
      </c>
      <c r="D3" t="s">
        <v>175</v>
      </c>
      <c r="E3" t="s">
        <v>176</v>
      </c>
    </row>
    <row r="4" spans="1:6">
      <c r="A4" s="114">
        <v>43349</v>
      </c>
      <c r="B4" s="115">
        <v>0.61209490740740746</v>
      </c>
      <c r="C4" t="s">
        <v>174</v>
      </c>
      <c r="D4" t="s">
        <v>175</v>
      </c>
      <c r="E4" t="s">
        <v>176</v>
      </c>
    </row>
    <row r="5" spans="1:6">
      <c r="A5" s="114">
        <v>43349</v>
      </c>
      <c r="B5" s="115">
        <v>0.61231481481481487</v>
      </c>
      <c r="C5" t="s">
        <v>174</v>
      </c>
      <c r="D5" t="s">
        <v>175</v>
      </c>
      <c r="E5" t="s">
        <v>176</v>
      </c>
    </row>
  </sheetData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FFFF00"/>
  </sheetPr>
  <dimension ref="A1:K86"/>
  <sheetViews>
    <sheetView view="pageBreakPreview" zoomScaleNormal="100" zoomScaleSheetLayoutView="100" workbookViewId="0">
      <selection activeCell="G73" sqref="G73"/>
    </sheetView>
  </sheetViews>
  <sheetFormatPr defaultColWidth="9" defaultRowHeight="19.5"/>
  <cols>
    <col min="1" max="1" width="23.90625" style="3" customWidth="1"/>
    <col min="2" max="2" width="10.36328125" style="7" customWidth="1"/>
    <col min="3" max="3" width="19.7265625" style="3" customWidth="1"/>
    <col min="4" max="4" width="19.08984375" style="3" customWidth="1"/>
    <col min="5" max="5" width="19.6328125" style="3" customWidth="1"/>
    <col min="6" max="7" width="21" style="2" bestFit="1" customWidth="1"/>
    <col min="8" max="8" width="19" style="2" bestFit="1" customWidth="1"/>
    <col min="9" max="9" width="12.453125" style="3" bestFit="1" customWidth="1"/>
    <col min="10" max="10" width="14.453125" style="3" customWidth="1"/>
    <col min="11" max="11" width="12.453125" style="3" customWidth="1"/>
    <col min="12" max="16384" width="9" style="3"/>
  </cols>
  <sheetData>
    <row r="1" spans="1:11" ht="21.5">
      <c r="A1" s="168" t="s">
        <v>16</v>
      </c>
      <c r="B1" s="95" t="s">
        <v>181</v>
      </c>
      <c r="C1" s="168" t="s">
        <v>17</v>
      </c>
      <c r="D1" s="168" t="s">
        <v>18</v>
      </c>
      <c r="E1" s="168" t="s">
        <v>19</v>
      </c>
      <c r="F1" s="153" t="s">
        <v>225</v>
      </c>
      <c r="G1" s="153" t="s">
        <v>226</v>
      </c>
      <c r="H1" s="153" t="s">
        <v>227</v>
      </c>
      <c r="I1" s="93" t="s">
        <v>154</v>
      </c>
      <c r="J1" s="94" t="s">
        <v>155</v>
      </c>
      <c r="K1" s="94" t="s">
        <v>156</v>
      </c>
    </row>
    <row r="2" spans="1:11">
      <c r="A2" s="168" t="s">
        <v>20</v>
      </c>
      <c r="B2" s="95"/>
      <c r="C2" s="139">
        <f>H2</f>
        <v>-30593826</v>
      </c>
      <c r="D2" s="96">
        <f t="shared" ref="D2:D26" si="0">ROUND(C2/21,0)</f>
        <v>-1456849</v>
      </c>
      <c r="E2" s="96">
        <f t="shared" ref="E2:E39" si="1">C2-D2</f>
        <v>-29136977</v>
      </c>
      <c r="F2" s="96">
        <v>-581145326</v>
      </c>
      <c r="G2" s="96">
        <v>-611739152</v>
      </c>
      <c r="H2" s="153">
        <f t="shared" ref="H2:H49" si="2">G2-F2</f>
        <v>-30593826</v>
      </c>
      <c r="I2" s="130" t="s">
        <v>157</v>
      </c>
      <c r="J2" s="131" t="s">
        <v>193</v>
      </c>
      <c r="K2" s="131" t="s">
        <v>158</v>
      </c>
    </row>
    <row r="3" spans="1:11">
      <c r="A3" s="168" t="s">
        <v>118</v>
      </c>
      <c r="B3" s="95"/>
      <c r="C3" s="78">
        <f>H3</f>
        <v>96436908</v>
      </c>
      <c r="D3" s="96">
        <f t="shared" si="0"/>
        <v>4592234</v>
      </c>
      <c r="E3" s="119">
        <f>C3-D3</f>
        <v>91844674</v>
      </c>
      <c r="F3" s="145">
        <v>1041067357</v>
      </c>
      <c r="G3" s="146">
        <v>1137504265</v>
      </c>
      <c r="H3" s="153">
        <f t="shared" si="2"/>
        <v>96436908</v>
      </c>
      <c r="I3" s="130" t="s">
        <v>157</v>
      </c>
      <c r="J3" s="131" t="s">
        <v>194</v>
      </c>
      <c r="K3" s="131" t="s">
        <v>159</v>
      </c>
    </row>
    <row r="4" spans="1:11">
      <c r="A4" s="168" t="s">
        <v>21</v>
      </c>
      <c r="B4" s="95"/>
      <c r="C4" s="78">
        <f>H4</f>
        <v>589737</v>
      </c>
      <c r="D4" s="96">
        <f t="shared" si="0"/>
        <v>28083</v>
      </c>
      <c r="E4" s="119">
        <f t="shared" si="1"/>
        <v>561654</v>
      </c>
      <c r="F4" s="145">
        <v>5564761</v>
      </c>
      <c r="G4" s="147">
        <v>6154498</v>
      </c>
      <c r="H4" s="153">
        <f t="shared" si="2"/>
        <v>589737</v>
      </c>
      <c r="I4" s="130" t="s">
        <v>157</v>
      </c>
      <c r="J4" s="131" t="s">
        <v>195</v>
      </c>
      <c r="K4" s="131" t="s">
        <v>159</v>
      </c>
    </row>
    <row r="5" spans="1:11">
      <c r="A5" s="168" t="s">
        <v>0</v>
      </c>
      <c r="B5" s="95"/>
      <c r="C5" s="78">
        <f t="shared" ref="C5:C26" si="3">H5</f>
        <v>206202</v>
      </c>
      <c r="D5" s="96">
        <f t="shared" si="0"/>
        <v>9819</v>
      </c>
      <c r="E5" s="119">
        <f>C5-D5</f>
        <v>196383</v>
      </c>
      <c r="F5" s="145">
        <v>1869095</v>
      </c>
      <c r="G5" s="148">
        <v>2075297</v>
      </c>
      <c r="H5" s="153">
        <f t="shared" si="2"/>
        <v>206202</v>
      </c>
      <c r="I5" s="130" t="s">
        <v>157</v>
      </c>
      <c r="J5" s="131" t="s">
        <v>196</v>
      </c>
      <c r="K5" s="131" t="s">
        <v>158</v>
      </c>
    </row>
    <row r="6" spans="1:11">
      <c r="A6" s="168" t="s">
        <v>1</v>
      </c>
      <c r="B6" s="95"/>
      <c r="C6" s="78">
        <f t="shared" si="3"/>
        <v>26895945</v>
      </c>
      <c r="D6" s="96">
        <f t="shared" si="0"/>
        <v>1280759</v>
      </c>
      <c r="E6" s="119">
        <f t="shared" si="1"/>
        <v>25615186</v>
      </c>
      <c r="F6" s="145">
        <v>243060658</v>
      </c>
      <c r="G6" s="148">
        <v>269956603</v>
      </c>
      <c r="H6" s="153">
        <f t="shared" si="2"/>
        <v>26895945</v>
      </c>
      <c r="I6" s="130" t="s">
        <v>157</v>
      </c>
      <c r="J6" s="131" t="s">
        <v>197</v>
      </c>
      <c r="K6" s="131" t="s">
        <v>159</v>
      </c>
    </row>
    <row r="7" spans="1:11" ht="19.5" hidden="1" customHeight="1">
      <c r="A7" s="168" t="s">
        <v>126</v>
      </c>
      <c r="B7" s="95"/>
      <c r="C7" s="78">
        <f>H7</f>
        <v>0</v>
      </c>
      <c r="D7" s="96">
        <f t="shared" si="0"/>
        <v>0</v>
      </c>
      <c r="E7" s="119">
        <f>C7-D7</f>
        <v>0</v>
      </c>
      <c r="F7" s="145"/>
      <c r="G7" s="148"/>
      <c r="H7" s="153">
        <f t="shared" si="2"/>
        <v>0</v>
      </c>
      <c r="I7" s="130" t="s">
        <v>157</v>
      </c>
      <c r="J7" s="131" t="s">
        <v>160</v>
      </c>
      <c r="K7" s="131" t="s">
        <v>158</v>
      </c>
    </row>
    <row r="8" spans="1:11" s="137" customFormat="1">
      <c r="A8" s="134" t="s">
        <v>22</v>
      </c>
      <c r="B8" s="135"/>
      <c r="C8" s="105">
        <f>H8</f>
        <v>478336</v>
      </c>
      <c r="D8" s="113">
        <f t="shared" si="0"/>
        <v>22778</v>
      </c>
      <c r="E8" s="122">
        <f t="shared" si="1"/>
        <v>455558</v>
      </c>
      <c r="F8" s="149">
        <v>5617131</v>
      </c>
      <c r="G8" s="147">
        <v>6095467</v>
      </c>
      <c r="H8" s="146">
        <f t="shared" si="2"/>
        <v>478336</v>
      </c>
      <c r="I8" s="136" t="s">
        <v>157</v>
      </c>
      <c r="J8" s="131" t="s">
        <v>198</v>
      </c>
      <c r="K8" s="131" t="s">
        <v>158</v>
      </c>
    </row>
    <row r="9" spans="1:11">
      <c r="A9" s="168" t="s">
        <v>2</v>
      </c>
      <c r="B9" s="95"/>
      <c r="C9" s="78">
        <f>H9</f>
        <v>367900</v>
      </c>
      <c r="D9" s="96">
        <f t="shared" si="0"/>
        <v>17519</v>
      </c>
      <c r="E9" s="119">
        <f t="shared" si="1"/>
        <v>350381</v>
      </c>
      <c r="F9" s="145">
        <v>3051429</v>
      </c>
      <c r="G9" s="148">
        <v>3419329</v>
      </c>
      <c r="H9" s="153">
        <f t="shared" si="2"/>
        <v>367900</v>
      </c>
      <c r="I9" s="130" t="s">
        <v>157</v>
      </c>
      <c r="J9" s="131" t="s">
        <v>199</v>
      </c>
      <c r="K9" s="131" t="s">
        <v>158</v>
      </c>
    </row>
    <row r="10" spans="1:11">
      <c r="A10" s="168" t="s">
        <v>3</v>
      </c>
      <c r="B10" s="95"/>
      <c r="C10" s="78">
        <f t="shared" si="3"/>
        <v>19222796</v>
      </c>
      <c r="D10" s="96">
        <f t="shared" si="0"/>
        <v>915371</v>
      </c>
      <c r="E10" s="119">
        <f t="shared" si="1"/>
        <v>18307425</v>
      </c>
      <c r="F10" s="145">
        <v>180903949</v>
      </c>
      <c r="G10" s="148">
        <v>200126745</v>
      </c>
      <c r="H10" s="153">
        <f t="shared" si="2"/>
        <v>19222796</v>
      </c>
      <c r="I10" s="130" t="s">
        <v>157</v>
      </c>
      <c r="J10" s="131" t="s">
        <v>200</v>
      </c>
      <c r="K10" s="131" t="s">
        <v>158</v>
      </c>
    </row>
    <row r="11" spans="1:11">
      <c r="A11" s="168" t="s">
        <v>4</v>
      </c>
      <c r="B11" s="95"/>
      <c r="C11" s="78">
        <f t="shared" si="3"/>
        <v>2278454</v>
      </c>
      <c r="D11" s="96">
        <f t="shared" si="0"/>
        <v>108498</v>
      </c>
      <c r="E11" s="119">
        <f t="shared" si="1"/>
        <v>2169956</v>
      </c>
      <c r="F11" s="145">
        <v>20506483</v>
      </c>
      <c r="G11" s="148">
        <v>22784937</v>
      </c>
      <c r="H11" s="153">
        <f t="shared" si="2"/>
        <v>2278454</v>
      </c>
      <c r="I11" s="130" t="s">
        <v>157</v>
      </c>
      <c r="J11" s="131" t="s">
        <v>201</v>
      </c>
      <c r="K11" s="131" t="s">
        <v>158</v>
      </c>
    </row>
    <row r="12" spans="1:11" ht="19.5" hidden="1" customHeight="1">
      <c r="A12" s="168" t="s">
        <v>5</v>
      </c>
      <c r="B12" s="95"/>
      <c r="C12" s="78">
        <f t="shared" si="3"/>
        <v>0</v>
      </c>
      <c r="D12" s="96">
        <f t="shared" si="0"/>
        <v>0</v>
      </c>
      <c r="E12" s="119">
        <f t="shared" si="1"/>
        <v>0</v>
      </c>
      <c r="F12" s="145"/>
      <c r="G12" s="148"/>
      <c r="H12" s="153">
        <f t="shared" si="2"/>
        <v>0</v>
      </c>
      <c r="I12" s="127"/>
      <c r="J12" s="127"/>
      <c r="K12" s="127"/>
    </row>
    <row r="13" spans="1:11" ht="19.5" hidden="1" customHeight="1">
      <c r="A13" s="168" t="s">
        <v>6</v>
      </c>
      <c r="B13" s="95"/>
      <c r="C13" s="78">
        <f t="shared" si="3"/>
        <v>0</v>
      </c>
      <c r="D13" s="96">
        <f t="shared" si="0"/>
        <v>0</v>
      </c>
      <c r="E13" s="119">
        <f t="shared" si="1"/>
        <v>0</v>
      </c>
      <c r="F13" s="145"/>
      <c r="G13" s="148"/>
      <c r="H13" s="153">
        <f t="shared" si="2"/>
        <v>0</v>
      </c>
      <c r="I13" s="127"/>
      <c r="J13" s="127"/>
      <c r="K13" s="127"/>
    </row>
    <row r="14" spans="1:11" s="4" customFormat="1" ht="19.5" hidden="1" customHeight="1">
      <c r="A14" s="168" t="s">
        <v>7</v>
      </c>
      <c r="B14" s="95"/>
      <c r="C14" s="78">
        <f t="shared" si="3"/>
        <v>0</v>
      </c>
      <c r="D14" s="96">
        <f t="shared" si="0"/>
        <v>0</v>
      </c>
      <c r="E14" s="119">
        <f t="shared" si="1"/>
        <v>0</v>
      </c>
      <c r="F14" s="145"/>
      <c r="G14" s="148"/>
      <c r="H14" s="153">
        <f t="shared" si="2"/>
        <v>0</v>
      </c>
      <c r="I14" s="128"/>
      <c r="J14" s="128"/>
      <c r="K14" s="128"/>
    </row>
    <row r="15" spans="1:11">
      <c r="A15" s="168" t="s">
        <v>8</v>
      </c>
      <c r="B15" s="95"/>
      <c r="C15" s="78">
        <f t="shared" si="3"/>
        <v>181547</v>
      </c>
      <c r="D15" s="96">
        <f t="shared" si="0"/>
        <v>8645</v>
      </c>
      <c r="E15" s="119">
        <f t="shared" si="1"/>
        <v>172902</v>
      </c>
      <c r="F15" s="145">
        <v>1616843</v>
      </c>
      <c r="G15" s="148">
        <v>1798390</v>
      </c>
      <c r="H15" s="153">
        <f t="shared" si="2"/>
        <v>181547</v>
      </c>
      <c r="I15" s="130" t="s">
        <v>157</v>
      </c>
      <c r="J15" s="131" t="s">
        <v>202</v>
      </c>
      <c r="K15" s="131" t="s">
        <v>158</v>
      </c>
    </row>
    <row r="16" spans="1:11">
      <c r="A16" s="168" t="s">
        <v>9</v>
      </c>
      <c r="B16" s="95"/>
      <c r="C16" s="78">
        <f t="shared" si="3"/>
        <v>178330</v>
      </c>
      <c r="D16" s="96">
        <f t="shared" si="0"/>
        <v>8492</v>
      </c>
      <c r="E16" s="119">
        <f t="shared" si="1"/>
        <v>169838</v>
      </c>
      <c r="F16" s="145">
        <v>1765190</v>
      </c>
      <c r="G16" s="148">
        <v>1943520</v>
      </c>
      <c r="H16" s="153">
        <f t="shared" si="2"/>
        <v>178330</v>
      </c>
      <c r="I16" s="130" t="s">
        <v>157</v>
      </c>
      <c r="J16" s="131" t="s">
        <v>203</v>
      </c>
      <c r="K16" s="131" t="s">
        <v>158</v>
      </c>
    </row>
    <row r="17" spans="1:11">
      <c r="A17" s="168" t="s">
        <v>23</v>
      </c>
      <c r="B17" s="95"/>
      <c r="C17" s="78">
        <f t="shared" si="3"/>
        <v>86849</v>
      </c>
      <c r="D17" s="96">
        <f t="shared" si="0"/>
        <v>4136</v>
      </c>
      <c r="E17" s="119">
        <f>C17-D17</f>
        <v>82713</v>
      </c>
      <c r="F17" s="145">
        <v>1248255</v>
      </c>
      <c r="G17" s="146">
        <v>1335104</v>
      </c>
      <c r="H17" s="153">
        <f t="shared" si="2"/>
        <v>86849</v>
      </c>
      <c r="I17" s="130" t="s">
        <v>157</v>
      </c>
      <c r="J17" s="131" t="s">
        <v>204</v>
      </c>
      <c r="K17" s="131" t="s">
        <v>158</v>
      </c>
    </row>
    <row r="18" spans="1:11">
      <c r="A18" s="168" t="s">
        <v>110</v>
      </c>
      <c r="B18" s="95"/>
      <c r="C18" s="78">
        <f t="shared" si="3"/>
        <v>138134.09000000008</v>
      </c>
      <c r="D18" s="96">
        <f t="shared" si="0"/>
        <v>6578</v>
      </c>
      <c r="E18" s="120">
        <f>C18-D18</f>
        <v>131556.09000000008</v>
      </c>
      <c r="F18" s="150">
        <v>1005788.77</v>
      </c>
      <c r="G18" s="151">
        <v>1143922.8600000001</v>
      </c>
      <c r="H18" s="153">
        <f t="shared" si="2"/>
        <v>138134.09000000008</v>
      </c>
      <c r="I18" s="173" t="s">
        <v>161</v>
      </c>
      <c r="J18" s="170" t="s">
        <v>205</v>
      </c>
      <c r="K18" s="131" t="s">
        <v>162</v>
      </c>
    </row>
    <row r="19" spans="1:11">
      <c r="A19" s="168" t="s">
        <v>109</v>
      </c>
      <c r="B19" s="95"/>
      <c r="C19" s="78">
        <f t="shared" si="3"/>
        <v>3220</v>
      </c>
      <c r="D19" s="96">
        <f t="shared" si="0"/>
        <v>153</v>
      </c>
      <c r="E19" s="119">
        <f t="shared" si="1"/>
        <v>3067</v>
      </c>
      <c r="F19" s="152">
        <v>19639</v>
      </c>
      <c r="G19" s="151">
        <v>22859</v>
      </c>
      <c r="H19" s="153">
        <f>G19-F19</f>
        <v>3220</v>
      </c>
      <c r="I19" s="173" t="s">
        <v>157</v>
      </c>
      <c r="J19" s="170" t="s">
        <v>205</v>
      </c>
      <c r="K19" s="131" t="s">
        <v>162</v>
      </c>
    </row>
    <row r="20" spans="1:11">
      <c r="A20" s="168" t="s">
        <v>24</v>
      </c>
      <c r="B20" s="95"/>
      <c r="C20" s="78">
        <f t="shared" si="3"/>
        <v>129485</v>
      </c>
      <c r="D20" s="96">
        <f t="shared" si="0"/>
        <v>6166</v>
      </c>
      <c r="E20" s="119">
        <f t="shared" si="1"/>
        <v>123319</v>
      </c>
      <c r="F20" s="145">
        <v>1510872</v>
      </c>
      <c r="G20" s="146">
        <v>1640357</v>
      </c>
      <c r="H20" s="153">
        <f t="shared" si="2"/>
        <v>129485</v>
      </c>
      <c r="I20" s="130" t="s">
        <v>157</v>
      </c>
      <c r="J20" s="131" t="s">
        <v>206</v>
      </c>
      <c r="K20" s="131" t="s">
        <v>158</v>
      </c>
    </row>
    <row r="21" spans="1:11">
      <c r="A21" s="168" t="s">
        <v>25</v>
      </c>
      <c r="B21" s="95"/>
      <c r="C21" s="78">
        <f t="shared" si="3"/>
        <v>1371355</v>
      </c>
      <c r="D21" s="96">
        <f t="shared" si="0"/>
        <v>65303</v>
      </c>
      <c r="E21" s="119">
        <f t="shared" si="1"/>
        <v>1306052</v>
      </c>
      <c r="F21" s="145">
        <v>10692813</v>
      </c>
      <c r="G21" s="146">
        <v>12064168</v>
      </c>
      <c r="H21" s="153">
        <f t="shared" si="2"/>
        <v>1371355</v>
      </c>
      <c r="I21" s="130" t="s">
        <v>157</v>
      </c>
      <c r="J21" s="131" t="s">
        <v>207</v>
      </c>
      <c r="K21" s="131" t="s">
        <v>158</v>
      </c>
    </row>
    <row r="22" spans="1:11" ht="19.5" hidden="1" customHeight="1">
      <c r="A22" s="168" t="s">
        <v>26</v>
      </c>
      <c r="B22" s="95"/>
      <c r="C22" s="78">
        <f t="shared" si="3"/>
        <v>0</v>
      </c>
      <c r="D22" s="96">
        <f t="shared" si="0"/>
        <v>0</v>
      </c>
      <c r="E22" s="119">
        <f t="shared" si="1"/>
        <v>0</v>
      </c>
      <c r="F22" s="145"/>
      <c r="G22" s="153"/>
      <c r="H22" s="153">
        <f t="shared" si="2"/>
        <v>0</v>
      </c>
      <c r="I22" s="127"/>
      <c r="J22" s="127"/>
      <c r="K22" s="127"/>
    </row>
    <row r="23" spans="1:11">
      <c r="A23" s="168" t="s">
        <v>221</v>
      </c>
      <c r="B23" s="95"/>
      <c r="C23" s="78">
        <f>H23</f>
        <v>18970887</v>
      </c>
      <c r="D23" s="96">
        <f t="shared" si="0"/>
        <v>903376</v>
      </c>
      <c r="E23" s="119">
        <f t="shared" si="1"/>
        <v>18067511</v>
      </c>
      <c r="F23" s="152">
        <v>161765150</v>
      </c>
      <c r="G23" s="167">
        <v>180736037</v>
      </c>
      <c r="H23" s="153">
        <f t="shared" si="2"/>
        <v>18970887</v>
      </c>
      <c r="I23" s="169" t="s">
        <v>163</v>
      </c>
      <c r="J23" s="170" t="s">
        <v>208</v>
      </c>
      <c r="K23" s="131" t="s">
        <v>158</v>
      </c>
    </row>
    <row r="24" spans="1:11" ht="18.75" hidden="1" customHeight="1">
      <c r="A24" s="168" t="s">
        <v>106</v>
      </c>
      <c r="B24" s="95"/>
      <c r="C24" s="78">
        <f t="shared" si="3"/>
        <v>0</v>
      </c>
      <c r="D24" s="96">
        <f t="shared" si="0"/>
        <v>0</v>
      </c>
      <c r="E24" s="119">
        <f t="shared" si="1"/>
        <v>0</v>
      </c>
      <c r="F24" s="152"/>
      <c r="G24" s="167"/>
      <c r="H24" s="153">
        <f t="shared" si="2"/>
        <v>0</v>
      </c>
      <c r="I24" s="172" t="s">
        <v>215</v>
      </c>
      <c r="J24" s="170" t="s">
        <v>208</v>
      </c>
      <c r="K24" s="131" t="s">
        <v>158</v>
      </c>
    </row>
    <row r="25" spans="1:11" ht="19.5" customHeight="1">
      <c r="A25" s="168" t="s">
        <v>27</v>
      </c>
      <c r="B25" s="95"/>
      <c r="C25" s="78">
        <f t="shared" si="3"/>
        <v>341316</v>
      </c>
      <c r="D25" s="96">
        <f t="shared" si="0"/>
        <v>16253</v>
      </c>
      <c r="E25" s="119">
        <f t="shared" si="1"/>
        <v>325063</v>
      </c>
      <c r="F25" s="152">
        <v>2658035</v>
      </c>
      <c r="G25" s="167">
        <v>2999351</v>
      </c>
      <c r="H25" s="153">
        <f t="shared" si="2"/>
        <v>341316</v>
      </c>
      <c r="I25" s="169" t="s">
        <v>220</v>
      </c>
      <c r="J25" s="170" t="s">
        <v>208</v>
      </c>
      <c r="K25" s="131" t="s">
        <v>158</v>
      </c>
    </row>
    <row r="26" spans="1:11">
      <c r="A26" s="168" t="s">
        <v>28</v>
      </c>
      <c r="B26" s="95"/>
      <c r="C26" s="78">
        <f t="shared" si="3"/>
        <v>34037</v>
      </c>
      <c r="D26" s="96">
        <f t="shared" si="0"/>
        <v>1621</v>
      </c>
      <c r="E26" s="119">
        <f t="shared" si="1"/>
        <v>32416</v>
      </c>
      <c r="F26" s="145">
        <v>403816</v>
      </c>
      <c r="G26" s="153">
        <v>437853</v>
      </c>
      <c r="H26" s="153">
        <f t="shared" si="2"/>
        <v>34037</v>
      </c>
      <c r="I26" s="130" t="s">
        <v>157</v>
      </c>
      <c r="J26" s="131" t="s">
        <v>209</v>
      </c>
      <c r="K26" s="131" t="s">
        <v>158</v>
      </c>
    </row>
    <row r="27" spans="1:11">
      <c r="A27" s="168" t="s">
        <v>29</v>
      </c>
      <c r="B27" s="95"/>
      <c r="C27" s="78">
        <f>SUM(C2:C26)</f>
        <v>137317612.09</v>
      </c>
      <c r="D27" s="78">
        <f>SUM(D2:D26)</f>
        <v>6538935</v>
      </c>
      <c r="E27" s="78">
        <f>SUM(E2:E26)</f>
        <v>130778677.09</v>
      </c>
      <c r="F27" s="156">
        <f>SUM(F2:F26)</f>
        <v>1103181938.77</v>
      </c>
      <c r="G27" s="156">
        <f>SUM(G2:G26)</f>
        <v>1240499550.8600001</v>
      </c>
      <c r="H27" s="153">
        <f t="shared" si="2"/>
        <v>137317612.09000015</v>
      </c>
      <c r="I27" s="127"/>
      <c r="J27" s="127"/>
      <c r="K27" s="127"/>
    </row>
    <row r="28" spans="1:11" s="4" customFormat="1" ht="18.75" customHeight="1">
      <c r="A28" s="168" t="s">
        <v>30</v>
      </c>
      <c r="B28" s="92" t="s">
        <v>127</v>
      </c>
      <c r="C28" s="96">
        <f t="shared" ref="C28:C36" si="4">H28</f>
        <v>16236191</v>
      </c>
      <c r="D28" s="96">
        <f>ROUND(C28/21,0)</f>
        <v>773152</v>
      </c>
      <c r="E28" s="119">
        <f t="shared" si="1"/>
        <v>15463039</v>
      </c>
      <c r="F28" s="145">
        <v>186581535</v>
      </c>
      <c r="G28" s="155">
        <v>202817726</v>
      </c>
      <c r="H28" s="155">
        <f t="shared" si="2"/>
        <v>16236191</v>
      </c>
      <c r="I28" s="130" t="s">
        <v>164</v>
      </c>
      <c r="J28" s="131" t="s">
        <v>210</v>
      </c>
      <c r="K28" s="131" t="s">
        <v>159</v>
      </c>
    </row>
    <row r="29" spans="1:11">
      <c r="A29" s="97"/>
      <c r="B29" s="92" t="s">
        <v>128</v>
      </c>
      <c r="C29" s="78">
        <f t="shared" si="4"/>
        <v>3257</v>
      </c>
      <c r="D29" s="96">
        <f t="shared" ref="D29:D36" si="5">ROUND(C29/21,0)</f>
        <v>155</v>
      </c>
      <c r="E29" s="119">
        <f t="shared" si="1"/>
        <v>3102</v>
      </c>
      <c r="F29" s="145">
        <v>34122</v>
      </c>
      <c r="G29" s="153">
        <v>37379</v>
      </c>
      <c r="H29" s="155">
        <f t="shared" si="2"/>
        <v>3257</v>
      </c>
      <c r="I29" s="130" t="s">
        <v>164</v>
      </c>
      <c r="J29" s="131" t="s">
        <v>210</v>
      </c>
      <c r="K29" s="131" t="s">
        <v>159</v>
      </c>
    </row>
    <row r="30" spans="1:11">
      <c r="A30" s="97"/>
      <c r="B30" s="92" t="s">
        <v>129</v>
      </c>
      <c r="C30" s="78">
        <f t="shared" si="4"/>
        <v>5718</v>
      </c>
      <c r="D30" s="96">
        <f t="shared" si="5"/>
        <v>272</v>
      </c>
      <c r="E30" s="119">
        <f t="shared" si="1"/>
        <v>5446</v>
      </c>
      <c r="F30" s="145">
        <v>68442</v>
      </c>
      <c r="G30" s="154">
        <v>74160</v>
      </c>
      <c r="H30" s="155">
        <f t="shared" si="2"/>
        <v>5718</v>
      </c>
      <c r="I30" s="130" t="s">
        <v>164</v>
      </c>
      <c r="J30" s="131" t="s">
        <v>210</v>
      </c>
      <c r="K30" s="131" t="s">
        <v>159</v>
      </c>
    </row>
    <row r="31" spans="1:11">
      <c r="A31" s="97"/>
      <c r="B31" s="92" t="s">
        <v>151</v>
      </c>
      <c r="C31" s="78">
        <f>H31</f>
        <v>700</v>
      </c>
      <c r="D31" s="96">
        <f t="shared" si="5"/>
        <v>33</v>
      </c>
      <c r="E31" s="119">
        <f>C31-D31</f>
        <v>667</v>
      </c>
      <c r="F31" s="145">
        <v>6670</v>
      </c>
      <c r="G31" s="153">
        <v>7370</v>
      </c>
      <c r="H31" s="155">
        <f t="shared" si="2"/>
        <v>700</v>
      </c>
      <c r="I31" s="130" t="s">
        <v>164</v>
      </c>
      <c r="J31" s="131" t="s">
        <v>210</v>
      </c>
      <c r="K31" s="131" t="s">
        <v>159</v>
      </c>
    </row>
    <row r="32" spans="1:11">
      <c r="A32" s="97"/>
      <c r="B32" s="92" t="s">
        <v>130</v>
      </c>
      <c r="C32" s="78">
        <f t="shared" si="4"/>
        <v>39056</v>
      </c>
      <c r="D32" s="96">
        <f>ROUND(C32/21,0)</f>
        <v>1860</v>
      </c>
      <c r="E32" s="119">
        <f t="shared" si="1"/>
        <v>37196</v>
      </c>
      <c r="F32" s="145">
        <v>789388</v>
      </c>
      <c r="G32" s="154">
        <v>828444</v>
      </c>
      <c r="H32" s="155">
        <f t="shared" si="2"/>
        <v>39056</v>
      </c>
      <c r="I32" s="130" t="s">
        <v>164</v>
      </c>
      <c r="J32" s="131" t="s">
        <v>210</v>
      </c>
      <c r="K32" s="131" t="s">
        <v>159</v>
      </c>
    </row>
    <row r="33" spans="1:11">
      <c r="A33" s="97"/>
      <c r="B33" s="92" t="s">
        <v>131</v>
      </c>
      <c r="C33" s="78">
        <f t="shared" si="4"/>
        <v>0</v>
      </c>
      <c r="D33" s="96">
        <f t="shared" si="5"/>
        <v>0</v>
      </c>
      <c r="E33" s="119">
        <f t="shared" si="1"/>
        <v>0</v>
      </c>
      <c r="F33" s="145">
        <v>98522</v>
      </c>
      <c r="G33" s="153">
        <v>98522</v>
      </c>
      <c r="H33" s="155">
        <f t="shared" si="2"/>
        <v>0</v>
      </c>
      <c r="I33" s="130" t="s">
        <v>164</v>
      </c>
      <c r="J33" s="131" t="s">
        <v>210</v>
      </c>
      <c r="K33" s="131" t="s">
        <v>159</v>
      </c>
    </row>
    <row r="34" spans="1:11">
      <c r="A34" s="97"/>
      <c r="B34" s="92" t="s">
        <v>132</v>
      </c>
      <c r="C34" s="78">
        <f t="shared" si="4"/>
        <v>0</v>
      </c>
      <c r="D34" s="96">
        <f t="shared" si="5"/>
        <v>0</v>
      </c>
      <c r="E34" s="119">
        <f t="shared" si="1"/>
        <v>0</v>
      </c>
      <c r="F34" s="145">
        <v>29100</v>
      </c>
      <c r="G34" s="153">
        <v>29100</v>
      </c>
      <c r="H34" s="155">
        <f t="shared" si="2"/>
        <v>0</v>
      </c>
      <c r="I34" s="130" t="s">
        <v>164</v>
      </c>
      <c r="J34" s="131" t="s">
        <v>210</v>
      </c>
      <c r="K34" s="131" t="s">
        <v>159</v>
      </c>
    </row>
    <row r="35" spans="1:11">
      <c r="A35" s="97"/>
      <c r="B35" s="92" t="s">
        <v>153</v>
      </c>
      <c r="C35" s="78">
        <f t="shared" si="4"/>
        <v>8084</v>
      </c>
      <c r="D35" s="96">
        <f t="shared" si="5"/>
        <v>385</v>
      </c>
      <c r="E35" s="119">
        <f t="shared" si="1"/>
        <v>7699</v>
      </c>
      <c r="F35" s="145">
        <v>73389</v>
      </c>
      <c r="G35" s="155">
        <v>81473</v>
      </c>
      <c r="H35" s="155">
        <f t="shared" si="2"/>
        <v>8084</v>
      </c>
      <c r="I35" s="130" t="s">
        <v>164</v>
      </c>
      <c r="J35" s="131" t="s">
        <v>210</v>
      </c>
      <c r="K35" s="131" t="s">
        <v>159</v>
      </c>
    </row>
    <row r="36" spans="1:11">
      <c r="A36" s="97"/>
      <c r="B36" s="92" t="s">
        <v>191</v>
      </c>
      <c r="C36" s="78">
        <f t="shared" si="4"/>
        <v>291</v>
      </c>
      <c r="D36" s="96">
        <f t="shared" si="5"/>
        <v>14</v>
      </c>
      <c r="E36" s="119">
        <f t="shared" si="1"/>
        <v>277</v>
      </c>
      <c r="F36" s="145">
        <v>1053</v>
      </c>
      <c r="G36" s="155">
        <v>1344</v>
      </c>
      <c r="H36" s="155">
        <f t="shared" si="2"/>
        <v>291</v>
      </c>
      <c r="I36" s="130" t="s">
        <v>164</v>
      </c>
      <c r="J36" s="131" t="s">
        <v>210</v>
      </c>
      <c r="K36" s="131" t="s">
        <v>159</v>
      </c>
    </row>
    <row r="37" spans="1:11">
      <c r="A37" s="168" t="s">
        <v>29</v>
      </c>
      <c r="B37" s="95"/>
      <c r="C37" s="96">
        <f>SUM(C28:C36)</f>
        <v>16293297</v>
      </c>
      <c r="D37" s="96">
        <f>SUM(D28:D36)</f>
        <v>775871</v>
      </c>
      <c r="E37" s="139">
        <f>SUM(E28:E36)</f>
        <v>15517426</v>
      </c>
      <c r="F37" s="157">
        <f>SUM(F28:F36)</f>
        <v>187682221</v>
      </c>
      <c r="G37" s="157">
        <f>SUM(G28:G36)</f>
        <v>203975518</v>
      </c>
      <c r="H37" s="153">
        <f t="shared" si="2"/>
        <v>16293297</v>
      </c>
      <c r="I37" s="127"/>
      <c r="J37" s="127"/>
      <c r="K37" s="127"/>
    </row>
    <row r="38" spans="1:11" s="5" customFormat="1">
      <c r="A38" s="168" t="s">
        <v>31</v>
      </c>
      <c r="B38" s="95"/>
      <c r="C38" s="78">
        <f>H38</f>
        <v>11577358</v>
      </c>
      <c r="D38" s="77">
        <f>ROUND(C38/21,0)</f>
        <v>551303</v>
      </c>
      <c r="E38" s="119">
        <f t="shared" si="1"/>
        <v>11026055</v>
      </c>
      <c r="F38" s="145">
        <v>96108675</v>
      </c>
      <c r="G38" s="155">
        <v>107686033</v>
      </c>
      <c r="H38" s="153">
        <f t="shared" si="2"/>
        <v>11577358</v>
      </c>
      <c r="I38" s="130" t="s">
        <v>157</v>
      </c>
      <c r="J38" s="131" t="s">
        <v>211</v>
      </c>
      <c r="K38" s="131" t="s">
        <v>158</v>
      </c>
    </row>
    <row r="39" spans="1:11" s="5" customFormat="1">
      <c r="A39" s="168" t="s">
        <v>32</v>
      </c>
      <c r="B39" s="95"/>
      <c r="C39" s="78">
        <f>H39</f>
        <v>100780</v>
      </c>
      <c r="D39" s="77">
        <f>ROUND(C39/21,0)</f>
        <v>4799</v>
      </c>
      <c r="E39" s="119">
        <f t="shared" si="1"/>
        <v>95981</v>
      </c>
      <c r="F39" s="145">
        <v>919008</v>
      </c>
      <c r="G39" s="155">
        <v>1019788</v>
      </c>
      <c r="H39" s="153">
        <f t="shared" si="2"/>
        <v>100780</v>
      </c>
      <c r="I39" s="130" t="s">
        <v>157</v>
      </c>
      <c r="J39" s="131" t="s">
        <v>212</v>
      </c>
      <c r="K39" s="131" t="s">
        <v>158</v>
      </c>
    </row>
    <row r="40" spans="1:11">
      <c r="A40" s="168" t="s">
        <v>33</v>
      </c>
      <c r="B40" s="95"/>
      <c r="C40" s="78">
        <f>C27+C37+C38+C39</f>
        <v>165289047.09</v>
      </c>
      <c r="D40" s="78">
        <f>D27+D37+D38+D39</f>
        <v>7870908</v>
      </c>
      <c r="E40" s="78">
        <f>E27+E37+E38+E39</f>
        <v>157418139.09</v>
      </c>
      <c r="F40" s="158">
        <f>F27+F37+F38+F39</f>
        <v>1387891842.77</v>
      </c>
      <c r="G40" s="158">
        <f>G27+G37+G38+G39</f>
        <v>1553180889.8600001</v>
      </c>
      <c r="H40" s="153">
        <f t="shared" si="2"/>
        <v>165289047.09000015</v>
      </c>
      <c r="I40" s="127"/>
      <c r="J40" s="127"/>
      <c r="K40" s="127"/>
    </row>
    <row r="41" spans="1:11" s="6" customFormat="1" ht="20.25" hidden="1" customHeight="1" thickBot="1">
      <c r="A41" s="99" t="s">
        <v>34</v>
      </c>
      <c r="B41" s="95"/>
      <c r="C41" s="78">
        <f>H41</f>
        <v>0</v>
      </c>
      <c r="D41" s="77">
        <f>ROUND(C41/21,0)</f>
        <v>0</v>
      </c>
      <c r="E41" s="119">
        <f>C41-D41</f>
        <v>0</v>
      </c>
      <c r="F41" s="145"/>
      <c r="G41" s="153">
        <v>0</v>
      </c>
      <c r="H41" s="153">
        <f t="shared" si="2"/>
        <v>0</v>
      </c>
      <c r="I41" s="127"/>
      <c r="J41" s="127"/>
      <c r="K41" s="127"/>
    </row>
    <row r="42" spans="1:11" s="6" customFormat="1" hidden="1">
      <c r="A42" s="99" t="s">
        <v>10</v>
      </c>
      <c r="B42" s="95"/>
      <c r="C42" s="78">
        <f t="shared" ref="C42:C53" si="6">H42</f>
        <v>0</v>
      </c>
      <c r="D42" s="77">
        <f t="shared" ref="D42:D49" si="7">ROUND(C42/21,0)</f>
        <v>0</v>
      </c>
      <c r="E42" s="119">
        <f t="shared" ref="E42:E49" si="8">C42-D42</f>
        <v>0</v>
      </c>
      <c r="F42" s="145"/>
      <c r="G42" s="153">
        <v>0</v>
      </c>
      <c r="H42" s="153">
        <f t="shared" si="2"/>
        <v>0</v>
      </c>
      <c r="I42" s="127"/>
      <c r="J42" s="127"/>
      <c r="K42" s="127"/>
    </row>
    <row r="43" spans="1:11" s="6" customFormat="1" hidden="1">
      <c r="A43" s="99" t="s">
        <v>11</v>
      </c>
      <c r="B43" s="95"/>
      <c r="C43" s="78">
        <f t="shared" si="6"/>
        <v>0</v>
      </c>
      <c r="D43" s="77">
        <f t="shared" si="7"/>
        <v>0</v>
      </c>
      <c r="E43" s="119">
        <f t="shared" si="8"/>
        <v>0</v>
      </c>
      <c r="F43" s="145"/>
      <c r="G43" s="153">
        <v>0</v>
      </c>
      <c r="H43" s="153">
        <f t="shared" si="2"/>
        <v>0</v>
      </c>
      <c r="I43" s="127"/>
      <c r="J43" s="127"/>
      <c r="K43" s="127"/>
    </row>
    <row r="44" spans="1:11" s="6" customFormat="1" hidden="1">
      <c r="A44" s="99" t="s">
        <v>12</v>
      </c>
      <c r="B44" s="95"/>
      <c r="C44" s="78">
        <f t="shared" si="6"/>
        <v>0</v>
      </c>
      <c r="D44" s="77">
        <f t="shared" si="7"/>
        <v>0</v>
      </c>
      <c r="E44" s="119">
        <f t="shared" si="8"/>
        <v>0</v>
      </c>
      <c r="F44" s="145"/>
      <c r="G44" s="153">
        <v>0</v>
      </c>
      <c r="H44" s="153">
        <f t="shared" si="2"/>
        <v>0</v>
      </c>
      <c r="I44" s="127"/>
      <c r="J44" s="127"/>
      <c r="K44" s="127"/>
    </row>
    <row r="45" spans="1:11" s="6" customFormat="1" hidden="1">
      <c r="A45" s="99" t="s">
        <v>13</v>
      </c>
      <c r="B45" s="95"/>
      <c r="C45" s="78">
        <f t="shared" si="6"/>
        <v>0</v>
      </c>
      <c r="D45" s="77">
        <f t="shared" si="7"/>
        <v>0</v>
      </c>
      <c r="E45" s="119">
        <f t="shared" si="8"/>
        <v>0</v>
      </c>
      <c r="F45" s="145"/>
      <c r="G45" s="153">
        <v>0</v>
      </c>
      <c r="H45" s="153">
        <f t="shared" si="2"/>
        <v>0</v>
      </c>
      <c r="I45" s="127"/>
      <c r="J45" s="127"/>
      <c r="K45" s="127"/>
    </row>
    <row r="46" spans="1:11" s="6" customFormat="1" hidden="1">
      <c r="A46" s="99" t="s">
        <v>14</v>
      </c>
      <c r="B46" s="95"/>
      <c r="C46" s="78">
        <f t="shared" si="6"/>
        <v>0</v>
      </c>
      <c r="D46" s="77">
        <f t="shared" si="7"/>
        <v>0</v>
      </c>
      <c r="E46" s="119">
        <f t="shared" si="8"/>
        <v>0</v>
      </c>
      <c r="F46" s="145"/>
      <c r="G46" s="153">
        <v>0</v>
      </c>
      <c r="H46" s="153">
        <f t="shared" si="2"/>
        <v>0</v>
      </c>
      <c r="I46" s="127"/>
      <c r="J46" s="127"/>
      <c r="K46" s="127"/>
    </row>
    <row r="47" spans="1:11" s="6" customFormat="1" hidden="1">
      <c r="A47" s="99" t="s">
        <v>35</v>
      </c>
      <c r="B47" s="95"/>
      <c r="C47" s="78">
        <f t="shared" si="6"/>
        <v>0</v>
      </c>
      <c r="D47" s="77">
        <f t="shared" si="7"/>
        <v>0</v>
      </c>
      <c r="E47" s="119">
        <f t="shared" si="8"/>
        <v>0</v>
      </c>
      <c r="F47" s="145"/>
      <c r="G47" s="153">
        <v>0</v>
      </c>
      <c r="H47" s="153">
        <f t="shared" si="2"/>
        <v>0</v>
      </c>
      <c r="I47" s="127"/>
      <c r="J47" s="127"/>
      <c r="K47" s="127"/>
    </row>
    <row r="48" spans="1:11" s="6" customFormat="1" hidden="1">
      <c r="A48" s="99" t="s">
        <v>111</v>
      </c>
      <c r="B48" s="95"/>
      <c r="C48" s="78">
        <f>H48</f>
        <v>0</v>
      </c>
      <c r="D48" s="77">
        <f>ROUND(C48/21,0)</f>
        <v>0</v>
      </c>
      <c r="E48" s="119">
        <f>C48-D48</f>
        <v>0</v>
      </c>
      <c r="F48" s="145"/>
      <c r="G48" s="159">
        <v>0</v>
      </c>
      <c r="H48" s="153">
        <f t="shared" si="2"/>
        <v>0</v>
      </c>
      <c r="I48" s="127"/>
      <c r="J48" s="127"/>
      <c r="K48" s="127"/>
    </row>
    <row r="49" spans="1:11" s="6" customFormat="1" hidden="1">
      <c r="A49" s="99" t="s">
        <v>123</v>
      </c>
      <c r="B49" s="95"/>
      <c r="C49" s="78">
        <f>H49</f>
        <v>0</v>
      </c>
      <c r="D49" s="77">
        <f t="shared" si="7"/>
        <v>0</v>
      </c>
      <c r="E49" s="119">
        <f t="shared" si="8"/>
        <v>0</v>
      </c>
      <c r="F49" s="145"/>
      <c r="G49" s="159">
        <v>0</v>
      </c>
      <c r="H49" s="153">
        <f t="shared" si="2"/>
        <v>0</v>
      </c>
      <c r="I49" s="127"/>
      <c r="J49" s="127"/>
      <c r="K49" s="127"/>
    </row>
    <row r="50" spans="1:11" hidden="1">
      <c r="A50" s="168" t="s">
        <v>33</v>
      </c>
      <c r="B50" s="95"/>
      <c r="C50" s="78">
        <f>SUM(C41:C49)</f>
        <v>0</v>
      </c>
      <c r="D50" s="77">
        <f>SUM(D41:D49)</f>
        <v>0</v>
      </c>
      <c r="E50" s="119">
        <f>C50-D50</f>
        <v>0</v>
      </c>
      <c r="F50" s="145"/>
      <c r="G50" s="158"/>
      <c r="H50" s="153"/>
      <c r="I50" s="127"/>
      <c r="J50" s="127"/>
      <c r="K50" s="127"/>
    </row>
    <row r="51" spans="1:11" s="6" customFormat="1" hidden="1">
      <c r="A51" s="99" t="s">
        <v>36</v>
      </c>
      <c r="B51" s="95"/>
      <c r="C51" s="78">
        <f t="shared" si="6"/>
        <v>0</v>
      </c>
      <c r="D51" s="77">
        <f>ROUND(C51/21,0)</f>
        <v>0</v>
      </c>
      <c r="E51" s="119">
        <f>C51-D51</f>
        <v>0</v>
      </c>
      <c r="F51" s="145"/>
      <c r="G51" s="155">
        <v>0</v>
      </c>
      <c r="H51" s="153">
        <f t="shared" ref="H51:H62" si="9">G51-F51</f>
        <v>0</v>
      </c>
      <c r="I51" s="127"/>
      <c r="J51" s="127"/>
      <c r="K51" s="127"/>
    </row>
    <row r="52" spans="1:11" hidden="1">
      <c r="A52" s="99" t="s">
        <v>37</v>
      </c>
      <c r="B52" s="95"/>
      <c r="C52" s="78">
        <f t="shared" si="6"/>
        <v>0</v>
      </c>
      <c r="D52" s="77">
        <f>ROUND(C52/21,0)</f>
        <v>0</v>
      </c>
      <c r="E52" s="119">
        <f>C52-D52</f>
        <v>0</v>
      </c>
      <c r="F52" s="145"/>
      <c r="G52" s="153">
        <v>0</v>
      </c>
      <c r="H52" s="153">
        <f t="shared" si="9"/>
        <v>0</v>
      </c>
      <c r="I52" s="127"/>
      <c r="J52" s="127"/>
      <c r="K52" s="127"/>
    </row>
    <row r="53" spans="1:11">
      <c r="A53" s="99" t="s">
        <v>38</v>
      </c>
      <c r="B53" s="95"/>
      <c r="C53" s="78">
        <f t="shared" si="6"/>
        <v>17085716</v>
      </c>
      <c r="D53" s="77">
        <f>ROUND(C53/21,0)</f>
        <v>813606</v>
      </c>
      <c r="E53" s="119">
        <f>C53-D53</f>
        <v>16272110</v>
      </c>
      <c r="F53" s="145">
        <v>95593525</v>
      </c>
      <c r="G53" s="153">
        <v>112679241</v>
      </c>
      <c r="H53" s="153">
        <f t="shared" si="9"/>
        <v>17085716</v>
      </c>
      <c r="I53" s="130" t="s">
        <v>157</v>
      </c>
      <c r="J53" s="131" t="s">
        <v>213</v>
      </c>
      <c r="K53" s="131" t="s">
        <v>162</v>
      </c>
    </row>
    <row r="54" spans="1:11" hidden="1">
      <c r="A54" s="118" t="s">
        <v>37</v>
      </c>
      <c r="B54" s="112"/>
      <c r="C54" s="78">
        <f t="shared" ref="C54:C60" si="10">H54</f>
        <v>0</v>
      </c>
      <c r="D54" s="77">
        <f t="shared" ref="D54:D61" si="11">ROUND(C54/21,0)</f>
        <v>0</v>
      </c>
      <c r="E54" s="119">
        <f t="shared" ref="E54:E62" si="12">C54-D54</f>
        <v>0</v>
      </c>
      <c r="F54" s="160"/>
      <c r="G54" s="161"/>
      <c r="H54" s="153">
        <f t="shared" si="9"/>
        <v>0</v>
      </c>
      <c r="I54" s="129"/>
      <c r="J54" s="127"/>
      <c r="K54" s="127"/>
    </row>
    <row r="55" spans="1:11" hidden="1">
      <c r="A55" s="99" t="s">
        <v>15</v>
      </c>
      <c r="B55" s="95"/>
      <c r="C55" s="78">
        <f t="shared" si="10"/>
        <v>0</v>
      </c>
      <c r="D55" s="77">
        <f t="shared" si="11"/>
        <v>0</v>
      </c>
      <c r="E55" s="119">
        <f t="shared" si="12"/>
        <v>0</v>
      </c>
      <c r="F55" s="145"/>
      <c r="G55" s="153"/>
      <c r="H55" s="153">
        <f t="shared" si="9"/>
        <v>0</v>
      </c>
      <c r="I55" s="127"/>
      <c r="J55" s="127"/>
      <c r="K55" s="127"/>
    </row>
    <row r="56" spans="1:11" hidden="1">
      <c r="A56" s="99" t="s">
        <v>39</v>
      </c>
      <c r="B56" s="95"/>
      <c r="C56" s="78">
        <f t="shared" si="10"/>
        <v>0</v>
      </c>
      <c r="D56" s="77">
        <f t="shared" si="11"/>
        <v>0</v>
      </c>
      <c r="E56" s="119">
        <f t="shared" si="12"/>
        <v>0</v>
      </c>
      <c r="F56" s="145"/>
      <c r="G56" s="155"/>
      <c r="H56" s="153">
        <f t="shared" si="9"/>
        <v>0</v>
      </c>
      <c r="I56" s="127"/>
      <c r="J56" s="127"/>
      <c r="K56" s="127"/>
    </row>
    <row r="57" spans="1:11" hidden="1">
      <c r="A57" s="99" t="s">
        <v>124</v>
      </c>
      <c r="B57" s="95"/>
      <c r="C57" s="78">
        <f t="shared" si="10"/>
        <v>0</v>
      </c>
      <c r="D57" s="77">
        <f t="shared" si="11"/>
        <v>0</v>
      </c>
      <c r="E57" s="119">
        <f t="shared" si="12"/>
        <v>0</v>
      </c>
      <c r="F57" s="145"/>
      <c r="G57" s="155"/>
      <c r="H57" s="153">
        <f t="shared" si="9"/>
        <v>0</v>
      </c>
      <c r="I57" s="127"/>
      <c r="J57" s="127"/>
      <c r="K57" s="127"/>
    </row>
    <row r="58" spans="1:11" hidden="1">
      <c r="A58" s="99" t="s">
        <v>125</v>
      </c>
      <c r="B58" s="95"/>
      <c r="C58" s="78">
        <f t="shared" si="10"/>
        <v>0</v>
      </c>
      <c r="D58" s="77">
        <f t="shared" si="11"/>
        <v>0</v>
      </c>
      <c r="E58" s="119">
        <f t="shared" si="12"/>
        <v>0</v>
      </c>
      <c r="F58" s="145"/>
      <c r="G58" s="155"/>
      <c r="H58" s="153">
        <f t="shared" si="9"/>
        <v>0</v>
      </c>
      <c r="I58" s="127"/>
      <c r="J58" s="127"/>
      <c r="K58" s="127"/>
    </row>
    <row r="59" spans="1:11" hidden="1">
      <c r="A59" s="99" t="s">
        <v>192</v>
      </c>
      <c r="B59" s="95"/>
      <c r="C59" s="78">
        <f t="shared" si="10"/>
        <v>0</v>
      </c>
      <c r="D59" s="77">
        <f t="shared" si="11"/>
        <v>0</v>
      </c>
      <c r="E59" s="119">
        <f t="shared" si="12"/>
        <v>0</v>
      </c>
      <c r="F59" s="145"/>
      <c r="G59" s="155"/>
      <c r="H59" s="153">
        <f t="shared" si="9"/>
        <v>0</v>
      </c>
      <c r="I59" s="132" t="s">
        <v>214</v>
      </c>
      <c r="J59" s="131" t="s">
        <v>213</v>
      </c>
      <c r="K59" s="127"/>
    </row>
    <row r="60" spans="1:11">
      <c r="A60" s="99" t="s">
        <v>219</v>
      </c>
      <c r="B60" s="95"/>
      <c r="C60" s="78">
        <f t="shared" si="10"/>
        <v>0</v>
      </c>
      <c r="D60" s="77">
        <f t="shared" si="11"/>
        <v>0</v>
      </c>
      <c r="E60" s="119">
        <f t="shared" si="12"/>
        <v>0</v>
      </c>
      <c r="F60" s="145">
        <v>641641</v>
      </c>
      <c r="G60" s="155">
        <v>641641</v>
      </c>
      <c r="H60" s="153">
        <f t="shared" si="9"/>
        <v>0</v>
      </c>
      <c r="I60" s="1"/>
      <c r="J60" s="1" t="s">
        <v>217</v>
      </c>
      <c r="K60" s="1"/>
    </row>
    <row r="61" spans="1:11">
      <c r="A61" s="99" t="s">
        <v>216</v>
      </c>
      <c r="B61" s="95"/>
      <c r="C61" s="78">
        <f>H61</f>
        <v>0</v>
      </c>
      <c r="D61" s="77">
        <f t="shared" si="11"/>
        <v>0</v>
      </c>
      <c r="E61" s="119">
        <f t="shared" si="12"/>
        <v>0</v>
      </c>
      <c r="F61" s="145">
        <v>6187</v>
      </c>
      <c r="G61" s="154">
        <v>6187</v>
      </c>
      <c r="H61" s="153">
        <f t="shared" si="9"/>
        <v>0</v>
      </c>
      <c r="I61" s="138" t="s">
        <v>218</v>
      </c>
      <c r="J61" s="1" t="s">
        <v>217</v>
      </c>
      <c r="K61" s="1"/>
    </row>
    <row r="62" spans="1:11">
      <c r="A62" s="99" t="s">
        <v>192</v>
      </c>
      <c r="B62" s="95"/>
      <c r="C62" s="78">
        <f>H62</f>
        <v>11997</v>
      </c>
      <c r="D62" s="77">
        <f>ROUND(C62/21,0)</f>
        <v>571</v>
      </c>
      <c r="E62" s="119">
        <f t="shared" si="12"/>
        <v>11426</v>
      </c>
      <c r="F62" s="145">
        <v>0</v>
      </c>
      <c r="G62" s="154">
        <v>11997</v>
      </c>
      <c r="H62" s="153">
        <f t="shared" si="9"/>
        <v>11997</v>
      </c>
      <c r="I62" s="138" t="s">
        <v>228</v>
      </c>
      <c r="J62" s="131" t="s">
        <v>213</v>
      </c>
      <c r="K62" s="1"/>
    </row>
    <row r="63" spans="1:11">
      <c r="A63" s="168" t="s">
        <v>33</v>
      </c>
      <c r="B63" s="95"/>
      <c r="C63" s="78">
        <f>SUM(C51:C62)</f>
        <v>17097713</v>
      </c>
      <c r="D63" s="78">
        <f>SUM(D51:D62)</f>
        <v>814177</v>
      </c>
      <c r="E63" s="78">
        <f>SUM(E51:E62)</f>
        <v>16283536</v>
      </c>
      <c r="F63" s="158">
        <f>SUM(F53:F62)</f>
        <v>96241353</v>
      </c>
      <c r="G63" s="158">
        <f>SUM(G53:G62)</f>
        <v>113339066</v>
      </c>
      <c r="H63" s="158">
        <f>SUM(H53:H62)</f>
        <v>17097713</v>
      </c>
      <c r="I63" s="1"/>
      <c r="J63" s="1"/>
      <c r="K63" s="1"/>
    </row>
    <row r="64" spans="1:11">
      <c r="A64" s="168"/>
      <c r="B64" s="95"/>
      <c r="C64" s="100"/>
      <c r="D64" s="168"/>
      <c r="E64" s="121"/>
      <c r="F64" s="162"/>
      <c r="G64" s="153"/>
      <c r="H64" s="153">
        <f t="shared" ref="H64:H70" si="13">G64-F64</f>
        <v>0</v>
      </c>
      <c r="I64" s="1"/>
      <c r="J64" s="1"/>
      <c r="K64" s="1"/>
    </row>
    <row r="65" spans="1:11">
      <c r="A65" s="236" t="s">
        <v>40</v>
      </c>
      <c r="B65" s="237"/>
      <c r="C65" s="101">
        <f>C40+C63+C50</f>
        <v>182386760.09</v>
      </c>
      <c r="D65" s="101">
        <f>D40+D63+D50</f>
        <v>8685085</v>
      </c>
      <c r="E65" s="101">
        <f>E40+E63+E50</f>
        <v>173701675.09</v>
      </c>
      <c r="F65" s="163">
        <f>F40+F63</f>
        <v>1484133195.77</v>
      </c>
      <c r="G65" s="163">
        <f>G40+G63</f>
        <v>1666519955.8600001</v>
      </c>
      <c r="H65" s="163">
        <f>H40+H63</f>
        <v>182386760.09000015</v>
      </c>
      <c r="I65" s="1"/>
      <c r="J65" s="171">
        <f>103698307-85279137</f>
        <v>18419170</v>
      </c>
      <c r="K65" s="1"/>
    </row>
    <row r="66" spans="1:11" ht="85" hidden="1">
      <c r="A66" s="111" t="s">
        <v>178</v>
      </c>
      <c r="B66" s="117" t="s">
        <v>179</v>
      </c>
      <c r="C66" s="105">
        <f>H66</f>
        <v>0</v>
      </c>
      <c r="D66" s="113">
        <f>ROUND(C66/21,0)</f>
        <v>0</v>
      </c>
      <c r="E66" s="122">
        <f>C66-D66</f>
        <v>0</v>
      </c>
      <c r="F66" s="164"/>
      <c r="G66" s="165"/>
      <c r="H66" s="167">
        <f t="shared" si="13"/>
        <v>0</v>
      </c>
      <c r="I66" s="1"/>
      <c r="J66" s="1"/>
      <c r="K66" s="1"/>
    </row>
    <row r="67" spans="1:11" hidden="1">
      <c r="A67" s="97" t="s">
        <v>177</v>
      </c>
      <c r="B67" s="112"/>
      <c r="C67" s="105">
        <f>H67</f>
        <v>0</v>
      </c>
      <c r="D67" s="96">
        <f>ROUND(C67/21,0)</f>
        <v>0</v>
      </c>
      <c r="E67" s="119">
        <f>C67-D67</f>
        <v>0</v>
      </c>
      <c r="F67" s="145"/>
      <c r="G67" s="153"/>
      <c r="H67" s="153">
        <f t="shared" si="13"/>
        <v>0</v>
      </c>
      <c r="I67" s="1"/>
      <c r="J67" s="1"/>
      <c r="K67" s="1"/>
    </row>
    <row r="68" spans="1:11" hidden="1">
      <c r="A68" s="168" t="s">
        <v>29</v>
      </c>
      <c r="B68" s="95"/>
      <c r="C68" s="78">
        <f>SUM(C66:C67)</f>
        <v>0</v>
      </c>
      <c r="D68" s="98">
        <f>SUM(D66:D67)</f>
        <v>0</v>
      </c>
      <c r="E68" s="119">
        <f>SUM(E66:E67)</f>
        <v>0</v>
      </c>
      <c r="F68" s="145"/>
      <c r="G68" s="157"/>
      <c r="H68" s="153">
        <f t="shared" si="13"/>
        <v>0</v>
      </c>
      <c r="I68" s="1"/>
      <c r="J68" s="1"/>
      <c r="K68" s="1"/>
    </row>
    <row r="69" spans="1:11" hidden="1">
      <c r="A69" s="168"/>
      <c r="B69" s="95"/>
      <c r="C69" s="100"/>
      <c r="D69" s="168"/>
      <c r="E69" s="121"/>
      <c r="F69" s="162"/>
      <c r="G69" s="153"/>
      <c r="H69" s="153">
        <f t="shared" si="13"/>
        <v>0</v>
      </c>
      <c r="I69" s="1"/>
      <c r="J69" s="1"/>
      <c r="K69" s="1"/>
    </row>
    <row r="70" spans="1:11">
      <c r="A70" s="236" t="s">
        <v>41</v>
      </c>
      <c r="B70" s="237"/>
      <c r="C70" s="102">
        <f>C65+C68</f>
        <v>182386760.09</v>
      </c>
      <c r="D70" s="102">
        <f>D65+D68</f>
        <v>8685085</v>
      </c>
      <c r="E70" s="123">
        <f>E65+E68</f>
        <v>173701675.09</v>
      </c>
      <c r="F70" s="166">
        <f>F65+F68</f>
        <v>1484133195.77</v>
      </c>
      <c r="G70" s="166">
        <f>G65+G68</f>
        <v>1666519955.8600001</v>
      </c>
      <c r="H70" s="153">
        <f t="shared" si="13"/>
        <v>182386760.09000015</v>
      </c>
      <c r="I70" s="1"/>
      <c r="J70" s="1"/>
      <c r="K70" s="1"/>
    </row>
    <row r="73" spans="1:11">
      <c r="A73" s="85"/>
    </row>
    <row r="74" spans="1:11">
      <c r="A74" s="85"/>
    </row>
    <row r="75" spans="1:11">
      <c r="C75" s="85"/>
    </row>
    <row r="76" spans="1:11">
      <c r="A76" s="116"/>
      <c r="C76" s="85"/>
    </row>
    <row r="77" spans="1:11">
      <c r="C77" s="85"/>
      <c r="D77" s="85"/>
    </row>
    <row r="78" spans="1:11">
      <c r="A78" s="116"/>
      <c r="C78" s="85"/>
      <c r="D78" s="85"/>
    </row>
    <row r="79" spans="1:11">
      <c r="A79" s="85"/>
    </row>
    <row r="80" spans="1:11">
      <c r="C80" s="85"/>
    </row>
    <row r="81" spans="1:5">
      <c r="A81" s="116"/>
      <c r="C81" s="85"/>
    </row>
    <row r="82" spans="1:5">
      <c r="C82" s="85"/>
      <c r="D82" s="85"/>
    </row>
    <row r="83" spans="1:5">
      <c r="A83" s="116"/>
    </row>
    <row r="86" spans="1:5">
      <c r="E86" s="85"/>
    </row>
  </sheetData>
  <mergeCells count="2">
    <mergeCell ref="A65:B65"/>
    <mergeCell ref="A70:B70"/>
  </mergeCells>
  <phoneticPr fontId="19" type="noConversion"/>
  <printOptions horizontalCentered="1"/>
  <pageMargins left="0.19685039370078741" right="0.19685039370078741" top="0.78740157480314965" bottom="0.15748031496062992" header="0.31496062992125984" footer="0.31496062992125984"/>
  <pageSetup paperSize="9" orientation="portrait" r:id="rId1"/>
  <headerFooter alignWithMargins="0">
    <oddHeader>&amp;L108年11月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3</vt:i4>
      </vt:variant>
    </vt:vector>
  </HeadingPairs>
  <TitlesOfParts>
    <vt:vector size="7" baseType="lpstr">
      <vt:lpstr>不可扣抵比例</vt:lpstr>
      <vt:lpstr>本業印花</vt:lpstr>
      <vt:lpstr>108計算</vt:lpstr>
      <vt:lpstr>銷項稅額</vt:lpstr>
      <vt:lpstr>'108計算'!Print_Area</vt:lpstr>
      <vt:lpstr>本業印花!Print_Area</vt:lpstr>
      <vt:lpstr>銷項稅額!Print_Titles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frances.huang</dc:creator>
  <cp:lastModifiedBy>Calvin SK Chang</cp:lastModifiedBy>
  <cp:lastPrinted>2019-12-02T02:04:30Z</cp:lastPrinted>
  <dcterms:created xsi:type="dcterms:W3CDTF">2016-09-01T03:06:25Z</dcterms:created>
  <dcterms:modified xsi:type="dcterms:W3CDTF">2020-12-23T08:34:18Z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